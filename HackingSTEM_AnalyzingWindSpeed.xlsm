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0" codeName="{00000000-0000-0000-0000-000000000000}"/>
  <workbookPr filterPrivacy="1" codeName="ThisWorkbook"/>
  <xr:revisionPtr revIDLastSave="2" documentId="13_ncr:1_{14B99E43-D29A-442C-99FF-B0E86D340A5E}" xr6:coauthVersionLast="47" xr6:coauthVersionMax="47" xr10:uidLastSave="{57C78D1F-DD3C-48D3-B31F-FBA23B437728}"/>
  <bookViews>
    <workbookView xWindow="-13920" yWindow="-16320" windowWidth="29040" windowHeight="15840" firstSheet="1" activeTab="1" xr2:uid="{FAB22C35-91A0-47C6-B797-A55ECC7545C1}"/>
  </bookViews>
  <sheets>
    <sheet name="TT" sheetId="7" state="hidden" r:id="rId1"/>
    <sheet name="Dash" sheetId="1" r:id="rId2"/>
    <sheet name="Backend" sheetId="5" state="hidden" r:id="rId3"/>
    <sheet name="Data In" sheetId="3" r:id="rId4"/>
    <sheet name="Data Out" sheetId="4" r:id="rId5"/>
    <sheet name="Settings" sheetId="2" r:id="rId6"/>
  </sheets>
  <definedNames>
    <definedName name="BeaufortDesc">Backend!$C$18</definedName>
    <definedName name="BeaufortVal">Backend!$C$17</definedName>
    <definedName name="CityName">Backend!$C$25</definedName>
    <definedName name="CitySel">Dash!$E$8</definedName>
    <definedName name="DataChannelCountDefault">Settings!$B$8</definedName>
    <definedName name="DataChannelCountSetting">Settings!$C$8</definedName>
    <definedName name="DataDelayDefault">Settings!$B$4</definedName>
    <definedName name="DataDelaySetting">Settings!$C$4</definedName>
    <definedName name="DataOrientationDefault">Settings!$B$10</definedName>
    <definedName name="DataOrientationSetting">Settings!$C$10</definedName>
    <definedName name="DataRowCountDefault">Settings!$B$6</definedName>
    <definedName name="DataRowCountSetting">Settings!$C$6</definedName>
    <definedName name="Device_c">Backend!$C$14</definedName>
    <definedName name="Device_d">Backend!$C$13</definedName>
    <definedName name="Gauge">Backend!$C$22</definedName>
    <definedName name="LanguageSel">Dash!$G$4</definedName>
    <definedName name="LanguageSelect">TT!$S$3</definedName>
    <definedName name="LocNum">Backend!$C$3</definedName>
    <definedName name="LocQueryName">Backend!$C$4</definedName>
    <definedName name="MarkerX">Backend!$C$23</definedName>
    <definedName name="MarkerY">Backend!$C$24</definedName>
    <definedName name="MaxTemp">Backend!$C$8</definedName>
    <definedName name="QueryResult">Backend!$C$5</definedName>
    <definedName name="RPM">Backend!$C$16</definedName>
    <definedName name="TempC">Backend!$C$19</definedName>
    <definedName name="TempGauge">Backend!$C$20</definedName>
    <definedName name="TempVal_C">Backend!$C$7</definedName>
    <definedName name="TempVal_F">Backend!$C$6</definedName>
    <definedName name="Timestamp">Backend!$C$11</definedName>
    <definedName name="Wind_cmPMin">Backend!$C$15</definedName>
    <definedName name="Wind_KPH">Backend!$C$10</definedName>
    <definedName name="Wind_MPH">Backend!$C$9</definedName>
    <definedName name="WindSimToggle">Backend!$C$26</definedName>
    <definedName name="WindSpeed">Backend!$C$21</definedName>
    <definedName name="WindVal">Backend!$C$27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2" i="7" l="1"/>
  <c r="D62" i="7"/>
  <c r="B61" i="7"/>
  <c r="D61" i="7"/>
  <c r="AB21" i="5" l="1"/>
  <c r="AB20" i="5"/>
  <c r="B48" i="7" l="1"/>
  <c r="B49" i="7"/>
  <c r="B50" i="7"/>
  <c r="B51" i="7"/>
  <c r="B52" i="7"/>
  <c r="B53" i="7"/>
  <c r="B54" i="7"/>
  <c r="B55" i="7"/>
  <c r="B56" i="7"/>
  <c r="B57" i="7"/>
  <c r="B58" i="7"/>
  <c r="B59" i="7"/>
  <c r="B60" i="7"/>
  <c r="D48" i="7"/>
  <c r="D49" i="7"/>
  <c r="D50" i="7"/>
  <c r="D51" i="7"/>
  <c r="D52" i="7"/>
  <c r="D53" i="7"/>
  <c r="D54" i="7"/>
  <c r="D55" i="7"/>
  <c r="D56" i="7"/>
  <c r="D57" i="7"/>
  <c r="D58" i="7"/>
  <c r="D59" i="7"/>
  <c r="D60" i="7"/>
  <c r="B41" i="7"/>
  <c r="D41" i="7"/>
  <c r="B47" i="7"/>
  <c r="D47" i="7"/>
  <c r="B46" i="7"/>
  <c r="D46" i="7"/>
  <c r="S3" i="7" l="1"/>
  <c r="D45" i="7"/>
  <c r="B45" i="7"/>
  <c r="D44" i="7"/>
  <c r="B44" i="7"/>
  <c r="D43" i="7"/>
  <c r="B43" i="7"/>
  <c r="D42" i="7"/>
  <c r="B42" i="7"/>
  <c r="D40" i="7"/>
  <c r="B40" i="7"/>
  <c r="D39" i="7"/>
  <c r="B39" i="7"/>
  <c r="D38" i="7"/>
  <c r="B38" i="7"/>
  <c r="D37" i="7"/>
  <c r="B37" i="7"/>
  <c r="D36" i="7"/>
  <c r="B36" i="7"/>
  <c r="D35" i="7"/>
  <c r="B35" i="7"/>
  <c r="D34" i="7"/>
  <c r="B34" i="7"/>
  <c r="D33" i="7"/>
  <c r="B33" i="7"/>
  <c r="D32" i="7"/>
  <c r="B32" i="7"/>
  <c r="D31" i="7"/>
  <c r="B31" i="7"/>
  <c r="D30" i="7"/>
  <c r="B30" i="7"/>
  <c r="D29" i="7"/>
  <c r="B29" i="7"/>
  <c r="D28" i="7"/>
  <c r="B28" i="7"/>
  <c r="D27" i="7"/>
  <c r="B27" i="7"/>
  <c r="D26" i="7"/>
  <c r="B26" i="7"/>
  <c r="D25" i="7"/>
  <c r="B25" i="7"/>
  <c r="D24" i="7"/>
  <c r="B24" i="7"/>
  <c r="D23" i="7"/>
  <c r="B23" i="7"/>
  <c r="D22" i="7"/>
  <c r="B22" i="7"/>
  <c r="D21" i="7"/>
  <c r="B21" i="7"/>
  <c r="D20" i="7"/>
  <c r="B20" i="7"/>
  <c r="D19" i="7"/>
  <c r="B19" i="7"/>
  <c r="D18" i="7"/>
  <c r="B18" i="7"/>
  <c r="D17" i="7"/>
  <c r="B17" i="7"/>
  <c r="D16" i="7"/>
  <c r="B16" i="7"/>
  <c r="D15" i="7"/>
  <c r="B15" i="7"/>
  <c r="D14" i="7"/>
  <c r="B14" i="7"/>
  <c r="D13" i="7"/>
  <c r="B13" i="7"/>
  <c r="D12" i="7"/>
  <c r="B12" i="7"/>
  <c r="D11" i="7"/>
  <c r="B11" i="7"/>
  <c r="D10" i="7"/>
  <c r="B10" i="7"/>
  <c r="D9" i="7"/>
  <c r="B9" i="7"/>
  <c r="D8" i="7"/>
  <c r="B8" i="7"/>
  <c r="D7" i="7"/>
  <c r="B7" i="7"/>
  <c r="D6" i="7"/>
  <c r="B6" i="7"/>
  <c r="D5" i="7"/>
  <c r="B5" i="7"/>
  <c r="D4" i="7"/>
  <c r="B4" i="7"/>
  <c r="D3" i="7"/>
  <c r="B3" i="7"/>
  <c r="O61" i="7" l="1"/>
  <c r="O62" i="7"/>
  <c r="C2" i="1" s="1"/>
  <c r="O49" i="7"/>
  <c r="AE4" i="5" s="1"/>
  <c r="O53" i="7"/>
  <c r="AE8" i="5" s="1"/>
  <c r="O57" i="7"/>
  <c r="AE12" i="5" s="1"/>
  <c r="O55" i="7"/>
  <c r="AE10" i="5" s="1"/>
  <c r="O52" i="7"/>
  <c r="AE7" i="5" s="1"/>
  <c r="O60" i="7"/>
  <c r="AE15" i="5" s="1"/>
  <c r="O50" i="7"/>
  <c r="AE5" i="5" s="1"/>
  <c r="O54" i="7"/>
  <c r="AE9" i="5" s="1"/>
  <c r="O58" i="7"/>
  <c r="AE13" i="5" s="1"/>
  <c r="O51" i="7"/>
  <c r="AE6" i="5" s="1"/>
  <c r="O59" i="7"/>
  <c r="AE14" i="5" s="1"/>
  <c r="O48" i="7"/>
  <c r="AE3" i="5" s="1"/>
  <c r="O56" i="7"/>
  <c r="AE11" i="5" s="1"/>
  <c r="O5" i="7"/>
  <c r="O41" i="7"/>
  <c r="F11" i="5" s="1"/>
  <c r="O35" i="7"/>
  <c r="F5" i="5" s="1"/>
  <c r="O31" i="7"/>
  <c r="O26" i="7"/>
  <c r="O18" i="7"/>
  <c r="O45" i="7"/>
  <c r="C4" i="1" s="1"/>
  <c r="O43" i="7"/>
  <c r="F13" i="5" s="1"/>
  <c r="O17" i="7"/>
  <c r="O39" i="7"/>
  <c r="F9" i="5" s="1"/>
  <c r="O30" i="7"/>
  <c r="O13" i="7"/>
  <c r="O44" i="7"/>
  <c r="F14" i="5" s="1"/>
  <c r="O34" i="7"/>
  <c r="F4" i="5" s="1"/>
  <c r="O25" i="7"/>
  <c r="O10" i="7"/>
  <c r="D6" i="1" s="1"/>
  <c r="O38" i="7"/>
  <c r="F8" i="5" s="1"/>
  <c r="O21" i="7"/>
  <c r="O12" i="7"/>
  <c r="X6" i="1" s="1"/>
  <c r="O3" i="7"/>
  <c r="O46" i="7"/>
  <c r="Q34" i="1" s="1"/>
  <c r="O47" i="7"/>
  <c r="Q45" i="1" s="1"/>
  <c r="O22" i="7"/>
  <c r="O14" i="7"/>
  <c r="O42" i="7"/>
  <c r="F12" i="5" s="1"/>
  <c r="O37" i="7"/>
  <c r="F7" i="5" s="1"/>
  <c r="O33" i="7"/>
  <c r="F3" i="5" s="1"/>
  <c r="O29" i="7"/>
  <c r="O24" i="7"/>
  <c r="O20" i="7"/>
  <c r="O16" i="7"/>
  <c r="O9" i="7"/>
  <c r="Q6" i="1" s="1"/>
  <c r="O40" i="7"/>
  <c r="F10" i="5" s="1"/>
  <c r="O36" i="7"/>
  <c r="F6" i="5" s="1"/>
  <c r="O32" i="7"/>
  <c r="O28" i="7"/>
  <c r="AF6" i="1" s="1"/>
  <c r="O27" i="7"/>
  <c r="O23" i="7"/>
  <c r="O19" i="7"/>
  <c r="O15" i="7"/>
  <c r="O6" i="7"/>
  <c r="O8" i="7"/>
  <c r="O4" i="7"/>
  <c r="O11" i="7"/>
  <c r="L46" i="1" s="1"/>
  <c r="O7" i="7"/>
  <c r="K46" i="1"/>
  <c r="Z18" i="1" l="1"/>
  <c r="AD13" i="5"/>
  <c r="Z24" i="1"/>
  <c r="AD11" i="5"/>
  <c r="Z34" i="1"/>
  <c r="AD8" i="5"/>
  <c r="Z30" i="1"/>
  <c r="AD9" i="5"/>
  <c r="Z40" i="1"/>
  <c r="AD6" i="5"/>
  <c r="Z14" i="1"/>
  <c r="AD15" i="5"/>
  <c r="Z21" i="1"/>
  <c r="AD12" i="5"/>
  <c r="Z42" i="1"/>
  <c r="AD5" i="5"/>
  <c r="Z16" i="1"/>
  <c r="AD14" i="5"/>
  <c r="Z37" i="1"/>
  <c r="AD7" i="5"/>
  <c r="Z44" i="1"/>
  <c r="AD4" i="5"/>
  <c r="Z27" i="1"/>
  <c r="AD10" i="5"/>
  <c r="Z46" i="1"/>
  <c r="AD3" i="5"/>
  <c r="I11" i="5"/>
  <c r="AL3" i="5"/>
  <c r="AM3" i="5" s="1"/>
  <c r="AN3" i="5" s="1"/>
  <c r="AO3" i="5" s="1"/>
  <c r="AL4" i="5"/>
  <c r="AM4" i="5" s="1"/>
  <c r="AN4" i="5" s="1"/>
  <c r="AL5" i="5"/>
  <c r="AM5" i="5" s="1"/>
  <c r="AN5" i="5" s="1"/>
  <c r="AL6" i="5"/>
  <c r="AM6" i="5" s="1"/>
  <c r="AN6" i="5" s="1"/>
  <c r="AL7" i="5"/>
  <c r="AM7" i="5" s="1"/>
  <c r="AN7" i="5" s="1"/>
  <c r="AO7" i="5" s="1"/>
  <c r="AL8" i="5"/>
  <c r="AM8" i="5" s="1"/>
  <c r="AN8" i="5" s="1"/>
  <c r="AO8" i="5" s="1"/>
  <c r="AL9" i="5"/>
  <c r="AM9" i="5" s="1"/>
  <c r="AN9" i="5" s="1"/>
  <c r="AL10" i="5"/>
  <c r="AM10" i="5" s="1"/>
  <c r="AN10" i="5" s="1"/>
  <c r="AL11" i="5"/>
  <c r="AM11" i="5" s="1"/>
  <c r="AN11" i="5" s="1"/>
  <c r="AO11" i="5" s="1"/>
  <c r="AL12" i="5"/>
  <c r="AM12" i="5" s="1"/>
  <c r="AN12" i="5" s="1"/>
  <c r="AP12" i="5" s="1"/>
  <c r="AL13" i="5"/>
  <c r="AM13" i="5" s="1"/>
  <c r="AN13" i="5" s="1"/>
  <c r="AL14" i="5"/>
  <c r="AM14" i="5" s="1"/>
  <c r="AN14" i="5" s="1"/>
  <c r="AL15" i="5"/>
  <c r="AM15" i="5" s="1"/>
  <c r="AN15" i="5" s="1"/>
  <c r="AO15" i="5" s="1"/>
  <c r="AO4" i="5" l="1"/>
  <c r="AP4" i="5"/>
  <c r="AO12" i="5"/>
  <c r="AP8" i="5"/>
  <c r="AO13" i="5"/>
  <c r="AP13" i="5"/>
  <c r="AP14" i="5"/>
  <c r="AO14" i="5"/>
  <c r="AP6" i="5"/>
  <c r="AO6" i="5"/>
  <c r="AO5" i="5"/>
  <c r="AP5" i="5"/>
  <c r="AP10" i="5"/>
  <c r="AO10" i="5"/>
  <c r="AO9" i="5"/>
  <c r="AP9" i="5"/>
  <c r="AP15" i="5"/>
  <c r="AP11" i="5"/>
  <c r="AP7" i="5"/>
  <c r="AP3" i="5"/>
  <c r="C11" i="5"/>
  <c r="C3" i="5"/>
  <c r="C25" i="5" s="1"/>
  <c r="D44" i="1" s="1"/>
  <c r="AC13" i="5"/>
  <c r="AC14" i="5"/>
  <c r="AC15" i="5"/>
  <c r="AC3" i="5"/>
  <c r="AC4" i="5"/>
  <c r="AC5" i="5"/>
  <c r="AC6" i="5"/>
  <c r="AC7" i="5"/>
  <c r="AC8" i="5"/>
  <c r="AC9" i="5"/>
  <c r="AC10" i="5"/>
  <c r="AC11" i="5"/>
  <c r="AC12" i="5"/>
  <c r="C14" i="5"/>
  <c r="C23" i="5" l="1"/>
  <c r="C24" i="5"/>
  <c r="N3" i="5" l="1"/>
  <c r="M3" i="5"/>
  <c r="V3" i="5"/>
  <c r="V4" i="5"/>
  <c r="V5" i="5"/>
  <c r="V6" i="5"/>
  <c r="V7" i="5"/>
  <c r="V8" i="5"/>
  <c r="V9" i="5"/>
  <c r="V10" i="5"/>
  <c r="Y6" i="5"/>
  <c r="Y5" i="5"/>
  <c r="Y3" i="5"/>
  <c r="U3" i="5"/>
  <c r="U4" i="5"/>
  <c r="U5" i="5"/>
  <c r="U6" i="5"/>
  <c r="U8" i="5"/>
  <c r="U9" i="5"/>
  <c r="P5" i="5"/>
  <c r="P6" i="5"/>
  <c r="P7" i="5"/>
  <c r="P8" i="5"/>
  <c r="P9" i="5"/>
  <c r="P10" i="5"/>
  <c r="P3" i="5"/>
  <c r="P4" i="5"/>
  <c r="W3" i="5" l="1"/>
  <c r="L3" i="5"/>
  <c r="I3" i="5"/>
  <c r="I4" i="5"/>
  <c r="I5" i="5"/>
  <c r="I6" i="5"/>
  <c r="I7" i="5"/>
  <c r="I8" i="5"/>
  <c r="I9" i="5"/>
  <c r="I10" i="5"/>
  <c r="I12" i="5"/>
  <c r="I13" i="5"/>
  <c r="I14" i="5"/>
  <c r="A7" i="3"/>
  <c r="Y8" i="5" l="1"/>
  <c r="C4" i="5"/>
  <c r="C5" i="5"/>
  <c r="E18" i="5" l="1"/>
  <c r="X3" i="5"/>
  <c r="Z3" i="5" l="1"/>
  <c r="W4" i="5" s="1"/>
  <c r="X4" i="5" s="1"/>
  <c r="AA3" i="5"/>
  <c r="Y4" i="5" l="1"/>
  <c r="AA4" i="5" s="1"/>
  <c r="Z4" i="5" l="1"/>
  <c r="W5" i="5" s="1"/>
  <c r="X5" i="5" l="1"/>
  <c r="AA5" i="5" s="1"/>
  <c r="Z5" i="5" l="1"/>
  <c r="W6" i="5" s="1"/>
  <c r="X6" i="5" s="1"/>
  <c r="Z6" i="5" l="1"/>
  <c r="W7" i="5" s="1"/>
  <c r="AA6" i="5"/>
  <c r="U7" i="5" l="1"/>
  <c r="Y7" i="5" s="1"/>
  <c r="X7" i="5"/>
  <c r="AA7" i="5" l="1"/>
  <c r="Z7" i="5"/>
  <c r="W8" i="5" s="1"/>
  <c r="X8" i="5" s="1"/>
  <c r="C6" i="5" l="1"/>
  <c r="C7" i="5" s="1"/>
  <c r="AA8" i="5"/>
  <c r="Z8" i="5"/>
  <c r="W9" i="5" s="1"/>
  <c r="C19" i="5" l="1"/>
  <c r="C20" i="5" s="1"/>
  <c r="AF44" i="1"/>
  <c r="Y9" i="5"/>
  <c r="X9" i="5"/>
  <c r="AA9" i="5" l="1"/>
  <c r="Z9" i="5"/>
  <c r="W10" i="5" s="1"/>
  <c r="U10" i="5" s="1"/>
  <c r="X10" i="5" l="1"/>
  <c r="Y10" i="5"/>
  <c r="AA10" i="5" l="1"/>
  <c r="C9" i="5" s="1"/>
  <c r="C10" i="5" s="1"/>
  <c r="C27" i="5" s="1"/>
  <c r="D5" i="4" s="1"/>
  <c r="Z10" i="5"/>
  <c r="C21" i="5" l="1"/>
  <c r="C22" i="5" s="1"/>
  <c r="AI3" i="5"/>
  <c r="AI5" i="5"/>
  <c r="AI9" i="5"/>
  <c r="AI13" i="5"/>
  <c r="AI6" i="5"/>
  <c r="AI10" i="5"/>
  <c r="AI14" i="5"/>
  <c r="AI7" i="5"/>
  <c r="AI11" i="5"/>
  <c r="AI15" i="5"/>
  <c r="AI4" i="5"/>
  <c r="AI8" i="5"/>
  <c r="AI12" i="5"/>
  <c r="C15" i="5"/>
  <c r="C16" i="5" s="1"/>
  <c r="Q40" i="1" s="1"/>
  <c r="C17" i="5" l="1"/>
  <c r="AH11" i="5" s="1"/>
  <c r="F7" i="3"/>
  <c r="E7" i="3"/>
  <c r="D7" i="3"/>
  <c r="C7" i="3"/>
  <c r="B7" i="3"/>
  <c r="AH8" i="5" l="1"/>
  <c r="AH10" i="5"/>
  <c r="X11" i="1"/>
  <c r="AH4" i="5"/>
  <c r="C18" i="5"/>
  <c r="AH13" i="5"/>
  <c r="AH14" i="5"/>
  <c r="AH15" i="5"/>
  <c r="AH7" i="5"/>
  <c r="AH3" i="5"/>
  <c r="AH12" i="5"/>
  <c r="AH9" i="5"/>
  <c r="AH6" i="5"/>
  <c r="AH5" i="5"/>
</calcChain>
</file>

<file path=xl/sharedStrings.xml><?xml version="1.0" encoding="utf-8"?>
<sst xmlns="http://schemas.openxmlformats.org/spreadsheetml/2006/main" count="361" uniqueCount="231">
  <si>
    <t>Row</t>
  </si>
  <si>
    <t>Tab</t>
  </si>
  <si>
    <t>Location</t>
  </si>
  <si>
    <t>Language 1</t>
  </si>
  <si>
    <t>Language 2</t>
  </si>
  <si>
    <t>Language 3</t>
  </si>
  <si>
    <t>Language 4</t>
  </si>
  <si>
    <t>Language 5</t>
  </si>
  <si>
    <t>Language 6</t>
  </si>
  <si>
    <t>Language 7</t>
  </si>
  <si>
    <t>Language 8</t>
  </si>
  <si>
    <t>Language 9</t>
  </si>
  <si>
    <t>Language 10</t>
  </si>
  <si>
    <t>Display</t>
  </si>
  <si>
    <t>Instructions</t>
  </si>
  <si>
    <t>This workbook uses "Macros" (automated Excel commands) to assist in the data collection process</t>
  </si>
  <si>
    <t>Esta pasta de trabalho usa "Macros” (comandos automatizados do Excel) para ajudar no processo de coleta de dados</t>
  </si>
  <si>
    <t>Select Language</t>
  </si>
  <si>
    <t>To use these Macros and have buttons on the spreadsheets work, you must "Enable" the Macros</t>
  </si>
  <si>
    <t>Para usar estes Macros e ter botões na planilha de trabalho, você deve habilitar os Macros</t>
  </si>
  <si>
    <t>Click the "Enable Content" button that appears above when you first open this workbook</t>
  </si>
  <si>
    <t>Clique o botão do " Habilitar Conteúdo" que aparece em cima ao abrir pela primeira vez esta pasta de trabalho</t>
  </si>
  <si>
    <t>English</t>
  </si>
  <si>
    <t>Once you have enabled macros, you can use the workbook.  If you do not see this message, macros are enabled</t>
  </si>
  <si>
    <t>Após a habilitação das macros, você pode usar a pasta de trabalho. Se você não vir esta mensagem, as macros estão habilitados</t>
  </si>
  <si>
    <t>Português</t>
  </si>
  <si>
    <t>Dashboard</t>
  </si>
  <si>
    <t>Temperature</t>
  </si>
  <si>
    <t>Temperatura</t>
  </si>
  <si>
    <t>Español</t>
  </si>
  <si>
    <t>Beaufort Number</t>
  </si>
  <si>
    <t>Número de Beaufort</t>
  </si>
  <si>
    <t>Wind speed</t>
  </si>
  <si>
    <t>Velocidade do Vento</t>
  </si>
  <si>
    <t>Select a location to view weather conditions</t>
  </si>
  <si>
    <t>Selecione uma localização para ver a condição do tempo</t>
  </si>
  <si>
    <t>Wind simulator</t>
  </si>
  <si>
    <t>Simulador do vento</t>
  </si>
  <si>
    <t>Wind Speed (Beaufort)</t>
  </si>
  <si>
    <t>Beaufort Scale</t>
  </si>
  <si>
    <t>Escala Beaufort</t>
  </si>
  <si>
    <t>Current Condition</t>
  </si>
  <si>
    <t>Condição Atual</t>
  </si>
  <si>
    <t>= 1 if Wind Speed is at least minimum on scale</t>
  </si>
  <si>
    <t>= 1 se a Velocidade de Vento for pelo menos o mínimo na escala</t>
  </si>
  <si>
    <t>Calm</t>
  </si>
  <si>
    <t>Calmo</t>
  </si>
  <si>
    <t>Light Air</t>
  </si>
  <si>
    <t>Ar leve</t>
  </si>
  <si>
    <t>Light Breeze</t>
  </si>
  <si>
    <t>Brisa leve</t>
  </si>
  <si>
    <t>Gentle Breeze</t>
  </si>
  <si>
    <t>Moderate Breeze</t>
  </si>
  <si>
    <t>Brisa moderada</t>
  </si>
  <si>
    <t>Fresh Breeze</t>
  </si>
  <si>
    <t>Brisa fresca</t>
  </si>
  <si>
    <t>Strong Breeze</t>
  </si>
  <si>
    <t>Brisa forte</t>
  </si>
  <si>
    <t>Near Gale</t>
  </si>
  <si>
    <t>Quase vendaval</t>
  </si>
  <si>
    <t>Gale</t>
  </si>
  <si>
    <t>Vendaval</t>
  </si>
  <si>
    <t>Strong Gale</t>
  </si>
  <si>
    <t>Vendaval forte</t>
  </si>
  <si>
    <t>Storm</t>
  </si>
  <si>
    <t>Tempestade</t>
  </si>
  <si>
    <t>Violent Storm</t>
  </si>
  <si>
    <t>Tempestade violenta</t>
  </si>
  <si>
    <t>Hurricane Force</t>
  </si>
  <si>
    <t>Força do Furacão</t>
  </si>
  <si>
    <t>Location Data</t>
  </si>
  <si>
    <t>Wind Speed</t>
  </si>
  <si>
    <t>Wind Simulator</t>
  </si>
  <si>
    <t xml:space="preserve">Local Time: </t>
  </si>
  <si>
    <t>Hora local:</t>
  </si>
  <si>
    <t>Getting Data</t>
  </si>
  <si>
    <t>Obtendo os Dados</t>
  </si>
  <si>
    <t>My Device</t>
  </si>
  <si>
    <t>Meu dispositivo</t>
  </si>
  <si>
    <t>Seattle, USA</t>
  </si>
  <si>
    <t>Seattle, EUA</t>
  </si>
  <si>
    <t>Chicago, USA</t>
  </si>
  <si>
    <t>Chicago, EUA</t>
  </si>
  <si>
    <t>New York, USA</t>
  </si>
  <si>
    <t>Nova Iorque, EUA</t>
  </si>
  <si>
    <t>Paris, France</t>
  </si>
  <si>
    <t>Seoul, South Korea</t>
  </si>
  <si>
    <t>Seul, Coreia do Sul</t>
  </si>
  <si>
    <t>Prague, Czech Republic</t>
  </si>
  <si>
    <t>Praga República Checa</t>
  </si>
  <si>
    <t>Edinburg, Scotland</t>
  </si>
  <si>
    <t>Edimburgo, Escócia</t>
  </si>
  <si>
    <t>Rio de Janeiro, Brazil</t>
  </si>
  <si>
    <t>Rio de Janeiro, Brasil</t>
  </si>
  <si>
    <t>Rio Gallegos, Argentina</t>
  </si>
  <si>
    <t>Rio Gallegos, Argentina.</t>
  </si>
  <si>
    <t>Mount Everest</t>
  </si>
  <si>
    <t>Monte Everest</t>
  </si>
  <si>
    <t>Wellington, New Zealand</t>
  </si>
  <si>
    <t>Wellington, Nova Zelândia.</t>
  </si>
  <si>
    <t>TT</t>
  </si>
  <si>
    <t>Select language </t>
  </si>
  <si>
    <t>Selecionar idioma </t>
  </si>
  <si>
    <t>Revolutions per minute</t>
  </si>
  <si>
    <t>Voltas por minuto</t>
  </si>
  <si>
    <t>RPM</t>
  </si>
  <si>
    <t>Calm; smoke rises vertically</t>
  </si>
  <si>
    <t>Calma; fumaça sobe verticalmente</t>
  </si>
  <si>
    <t>Direction of wind shown by smoke drift, but not by wind vane.</t>
  </si>
  <si>
    <t>Direção do vento mostrada pela deriva de fumaça, mas não por palhetas de vento.</t>
  </si>
  <si>
    <t>Wind felt on face; leaves rustle; ordinary vanes moved.</t>
  </si>
  <si>
    <t>Vento sentido no rosto; deixa farfalhar; palhetas comuns se moveram.</t>
  </si>
  <si>
    <t>Leaves and small twigs in constant motion, wind extends light flag.</t>
  </si>
  <si>
    <t>Folhas e galhos pequenos em movimento constante, o vento estende a bandeira luminosa.</t>
  </si>
  <si>
    <t>Raises dust and loose paper, small branches are moved.</t>
  </si>
  <si>
    <t>Levanta poeira e papel solto, pequenos galhos são movidos.</t>
  </si>
  <si>
    <t>Small trees in leaf begin to sway; crested wavelets form on inland waters.</t>
  </si>
  <si>
    <t>Pequenas árvores em folha começam a balançar; ondas de crested formam-se em águas interiores.</t>
  </si>
  <si>
    <t>Large branches in motion; whistling heard in telegraph.</t>
  </si>
  <si>
    <t>Grandes ramos em movimento; assobiando ouvido no telégrafo.</t>
  </si>
  <si>
    <t>Whole trees in motion; inconvenience felt when walking.</t>
  </si>
  <si>
    <t>Árvores inteiras em movimento; inconveniente sentido ao andar.</t>
  </si>
  <si>
    <t>Breaks twigs off trees, generally impedes progress.</t>
  </si>
  <si>
    <t>Quebra galhos de árvores, geralmente impede o progresso.</t>
  </si>
  <si>
    <t>Slight structural damage occurs (chimney-pots and slates removed).</t>
  </si>
  <si>
    <t>Ocorre um pequeno dano estrutural (chaminés e ardósias removidas).</t>
  </si>
  <si>
    <t>Trees uprooted; considerable damage occurs.</t>
  </si>
  <si>
    <t>Árvores arrancadas; danos consideráveis ocorrem.</t>
  </si>
  <si>
    <t>Violent, wide-spread damage.</t>
  </si>
  <si>
    <t>Danos violentos e generalizados.</t>
  </si>
  <si>
    <t>Workbook Setup</t>
  </si>
  <si>
    <t>Carteira da Pasta de Trabalho</t>
  </si>
  <si>
    <t>Analyzing wind speed</t>
  </si>
  <si>
    <t>Analisando a velocidade do vento</t>
  </si>
  <si>
    <t>v. 210714</t>
  </si>
  <si>
    <t>City</t>
  </si>
  <si>
    <t>CityTranslated</t>
  </si>
  <si>
    <t>X</t>
  </si>
  <si>
    <t>Y</t>
  </si>
  <si>
    <t>CityNum</t>
  </si>
  <si>
    <t>API City Name</t>
  </si>
  <si>
    <t>Type</t>
  </si>
  <si>
    <t>Timestamp</t>
  </si>
  <si>
    <t>Text</t>
  </si>
  <si>
    <t>ValOffset</t>
  </si>
  <si>
    <t>ValEndChar</t>
  </si>
  <si>
    <t>EndCharLoc</t>
  </si>
  <si>
    <t>Precedent</t>
  </si>
  <si>
    <t>SearchStart</t>
  </si>
  <si>
    <t>Loc</t>
  </si>
  <si>
    <t>Len</t>
  </si>
  <si>
    <t>End</t>
  </si>
  <si>
    <t>Value</t>
  </si>
  <si>
    <t>Beaufort num</t>
  </si>
  <si>
    <t>Description</t>
  </si>
  <si>
    <t>Min</t>
  </si>
  <si>
    <t>Max</t>
  </si>
  <si>
    <t>Scale</t>
  </si>
  <si>
    <t>Val</t>
  </si>
  <si>
    <t>Angle</t>
  </si>
  <si>
    <t>Radians</t>
  </si>
  <si>
    <t>LocNum</t>
  </si>
  <si>
    <t>NA</t>
  </si>
  <si>
    <t>Data In</t>
  </si>
  <si>
    <t>Search</t>
  </si>
  <si>
    <t>LocQueryName</t>
  </si>
  <si>
    <t>Seattle</t>
  </si>
  <si>
    <t>Query</t>
  </si>
  <si>
    <t>CurrentWeather</t>
  </si>
  <si>
    <t>QueryResult</t>
  </si>
  <si>
    <t>Chicago</t>
  </si>
  <si>
    <t>TempVal_F</t>
  </si>
  <si>
    <t>TempVal_C</t>
  </si>
  <si>
    <t>Paris, FR</t>
  </si>
  <si>
    <t>,</t>
  </si>
  <si>
    <t>MaxTemp</t>
  </si>
  <si>
    <t>Seoul</t>
  </si>
  <si>
    <t>Windspeed</t>
  </si>
  <si>
    <t>Wind_MPH</t>
  </si>
  <si>
    <t>Prague, CZ</t>
  </si>
  <si>
    <t>Wind_KPH</t>
  </si>
  <si>
    <t>Edinburg, UK</t>
  </si>
  <si>
    <t>Araruama, Brazil</t>
  </si>
  <si>
    <t>Flat</t>
  </si>
  <si>
    <t>Local Time: n/a (Average Conditions)</t>
  </si>
  <si>
    <t>Anenometer Diameter (cm)</t>
  </si>
  <si>
    <t>Anemometer Circumference (cm)</t>
  </si>
  <si>
    <t>Wind_cmPMin</t>
  </si>
  <si>
    <t>BeaufortVal</t>
  </si>
  <si>
    <t>BeaufortDesc</t>
  </si>
  <si>
    <t>TempC</t>
  </si>
  <si>
    <t>TempGauge</t>
  </si>
  <si>
    <t>Live Vol</t>
  </si>
  <si>
    <t>A</t>
  </si>
  <si>
    <t>WindSpeed</t>
  </si>
  <si>
    <t>~A</t>
  </si>
  <si>
    <t>Gauge</t>
  </si>
  <si>
    <t>MarkerX</t>
  </si>
  <si>
    <t>MarkerY</t>
  </si>
  <si>
    <t>CityName</t>
  </si>
  <si>
    <t>WindSimToggle</t>
  </si>
  <si>
    <t>🔘🞅⭕⭘○◯◉</t>
  </si>
  <si>
    <t>WindVal</t>
  </si>
  <si>
    <t>☐☒</t>
  </si>
  <si>
    <t>Data In (From Source)</t>
  </si>
  <si>
    <t>update</t>
  </si>
  <si>
    <t>Data coming from the current data source will appear below as it is received.</t>
  </si>
  <si>
    <t>Current Data</t>
  </si>
  <si>
    <t>Time</t>
  </si>
  <si>
    <t>Time Interval</t>
  </si>
  <si>
    <r>
      <t>Temp (</t>
    </r>
    <r>
      <rPr>
        <sz val="11"/>
        <color rgb="FF3A3838"/>
        <rFont val="Calibri"/>
        <family val="2"/>
      </rPr>
      <t>°</t>
    </r>
    <r>
      <rPr>
        <sz val="11"/>
        <color rgb="FF3A3838"/>
        <rFont val="Segoe UI Light"/>
        <family val="2"/>
      </rPr>
      <t>C)</t>
    </r>
  </si>
  <si>
    <t>Temp (°F)</t>
  </si>
  <si>
    <t>Historical Data</t>
  </si>
  <si>
    <t>Data Out (To Device)</t>
  </si>
  <si>
    <t>Data entered into the channels below will be sent to the currently connected device as a comma-delimited string.</t>
  </si>
  <si>
    <t>CH1</t>
  </si>
  <si>
    <t>CH2</t>
  </si>
  <si>
    <t>CH3</t>
  </si>
  <si>
    <t>CH4</t>
  </si>
  <si>
    <t>CH5</t>
  </si>
  <si>
    <t>Workbook Settings</t>
  </si>
  <si>
    <t>Settings below will affect how data is read into the current workbook from data sources. Clear a field's contents to revert to its default setting.</t>
  </si>
  <si>
    <t xml:space="preserve">Data interval (ms)  </t>
  </si>
  <si>
    <t>150</t>
  </si>
  <si>
    <t xml:space="preserve">Data rows  </t>
  </si>
  <si>
    <t>15</t>
  </si>
  <si>
    <t xml:space="preserve">Data channels  </t>
  </si>
  <si>
    <t>10</t>
  </si>
  <si>
    <t xml:space="preserve">Data orientation  </t>
  </si>
  <si>
    <t>Newest last</t>
  </si>
  <si>
    <r>
      <t>WARNING:</t>
    </r>
    <r>
      <rPr>
        <sz val="11"/>
        <color theme="1"/>
        <rFont val="Segoe UI Light"/>
        <family val="2"/>
      </rPr>
      <t xml:space="preserve"> Changing settings may result in the loss of content and/or custom formatting in the Data In and Data Out worksheets. Always save before changing values.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</si>
</sst>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 &quot;(Default)&quot;"/>
    <numFmt numFmtId="165" formatCode="h:mm:ss.000"/>
    <numFmt numFmtId="166" formatCode="0.0"/>
    <numFmt numFmtId="167" formatCode="0\°\C"/>
  </numFmts>
  <fonts count="36">
    <font>
      <sz val="11"/>
      <color theme="1"/>
      <name val="Segoe UI"/>
      <family val="2"/>
      <scheme val="minor"/>
    </font>
    <font>
      <sz val="11"/>
      <color theme="1"/>
      <name val="Segoe UI Light"/>
      <family val="2"/>
    </font>
    <font>
      <sz val="11"/>
      <color rgb="FFFFFFFF"/>
      <name val="Segoe UI Light"/>
      <family val="2"/>
    </font>
    <font>
      <sz val="20"/>
      <color rgb="FF696969"/>
      <name val="Segoe UI Light"/>
      <family val="2"/>
    </font>
    <font>
      <sz val="11"/>
      <color rgb="FFFBFBFB"/>
      <name val="Segoe UI Light"/>
      <family val="2"/>
    </font>
    <font>
      <sz val="11"/>
      <color rgb="FF000000"/>
      <name val="Segoe UI Light"/>
      <family val="2"/>
    </font>
    <font>
      <i/>
      <sz val="11"/>
      <color rgb="FF808080"/>
      <name val="Segoe UI Light"/>
      <family val="2"/>
    </font>
    <font>
      <sz val="11"/>
      <color rgb="FFFF0000"/>
      <name val="Segoe UI Light"/>
      <family val="2"/>
    </font>
    <font>
      <sz val="14"/>
      <color theme="1"/>
      <name val="Segoe UI Light"/>
      <family val="2"/>
    </font>
    <font>
      <sz val="14"/>
      <color rgb="FF555555"/>
      <name val="Segoe UI Light"/>
      <family val="2"/>
    </font>
    <font>
      <sz val="11"/>
      <color rgb="FFBFBFBF"/>
      <name val="Segoe UI Light"/>
      <family val="2"/>
    </font>
    <font>
      <sz val="11"/>
      <color rgb="FF3A3838"/>
      <name val="Segoe UI Light"/>
      <family val="2"/>
    </font>
    <font>
      <sz val="11"/>
      <color rgb="FFBFBFBF"/>
      <name val="Segoe UI Semibold"/>
      <family val="2"/>
    </font>
    <font>
      <sz val="11"/>
      <color rgb="FF3A3838"/>
      <name val="Segoe UI Semibold"/>
      <family val="2"/>
    </font>
    <font>
      <sz val="11"/>
      <color rgb="FF505050"/>
      <name val="Segoe UI Light"/>
      <family val="2"/>
    </font>
    <font>
      <sz val="8"/>
      <color theme="1"/>
      <name val="Segoe UI"/>
      <family val="2"/>
      <scheme val="minor"/>
    </font>
    <font>
      <sz val="11"/>
      <color theme="1"/>
      <name val="Segoe UI Semibold"/>
      <family val="2"/>
      <scheme val="major"/>
    </font>
    <font>
      <sz val="14"/>
      <color rgb="FF494949"/>
      <name val="Segoe UI"/>
      <family val="2"/>
      <scheme val="minor"/>
    </font>
    <font>
      <sz val="14"/>
      <color theme="1"/>
      <name val="Segoe UI"/>
      <family val="2"/>
      <scheme val="minor"/>
    </font>
    <font>
      <sz val="9.5"/>
      <color theme="1"/>
      <name val="Segoe UI"/>
      <family val="2"/>
      <scheme val="minor"/>
    </font>
    <font>
      <sz val="11"/>
      <color rgb="FF3A3838"/>
      <name val="Calibri"/>
      <family val="2"/>
    </font>
    <font>
      <sz val="11"/>
      <color rgb="FF505050"/>
      <name val="Segoe UI"/>
      <family val="2"/>
      <scheme val="minor"/>
    </font>
    <font>
      <b/>
      <sz val="11"/>
      <color rgb="FF3A3838"/>
      <name val="Segoe UI Light"/>
      <family val="2"/>
    </font>
    <font>
      <b/>
      <sz val="11"/>
      <color rgb="FF505050"/>
      <name val="Segoe UI Light"/>
      <family val="2"/>
    </font>
    <font>
      <sz val="48"/>
      <color theme="4"/>
      <name val="Segoe UI"/>
      <family val="2"/>
      <scheme val="minor"/>
    </font>
    <font>
      <sz val="12"/>
      <color theme="4"/>
      <name val="Segoe UI Semibold"/>
      <family val="2"/>
      <scheme val="major"/>
    </font>
    <font>
      <sz val="26"/>
      <color theme="4"/>
      <name val="Segoe UI Semibold"/>
      <family val="2"/>
      <scheme val="major"/>
    </font>
    <font>
      <sz val="11"/>
      <color theme="2"/>
      <name val="Segoe UI"/>
      <family val="2"/>
      <scheme val="minor"/>
    </font>
    <font>
      <sz val="9.5"/>
      <color theme="1"/>
      <name val="Segoe UI "/>
    </font>
    <font>
      <sz val="14"/>
      <color theme="4"/>
      <name val="Segoe UI Semibold"/>
      <family val="2"/>
      <scheme val="major"/>
    </font>
    <font>
      <sz val="8"/>
      <name val="Segoe UI"/>
      <family val="2"/>
      <scheme val="minor"/>
    </font>
    <font>
      <sz val="11"/>
      <color theme="1"/>
      <name val="Segoe UI Symbol"/>
      <family val="2"/>
    </font>
    <font>
      <sz val="14"/>
      <color theme="1"/>
      <name val="Segoe UI Symbol"/>
      <family val="2"/>
    </font>
    <font>
      <sz val="12"/>
      <color theme="1"/>
      <name val="Segoe UI"/>
      <family val="2"/>
    </font>
    <font>
      <b/>
      <sz val="16"/>
      <color theme="1"/>
      <name val="Segoe UI"/>
      <family val="2"/>
      <scheme val="minor"/>
    </font>
    <font>
      <sz val="12"/>
      <color theme="1"/>
      <name val="Segoe UI Symbol"/>
      <family val="2"/>
    </font>
  </fonts>
  <fills count="13">
    <fill>
      <patternFill patternType="none"/>
    </fill>
    <fill>
      <patternFill patternType="gray125"/>
    </fill>
    <fill>
      <patternFill patternType="solid">
        <fgColor rgb="FFFBFBFB"/>
        <bgColor indexed="64"/>
      </patternFill>
    </fill>
    <fill>
      <patternFill patternType="solid">
        <fgColor rgb="FFFFFFFF"/>
        <bgColor indexed="64"/>
      </patternFill>
    </fill>
    <fill>
      <patternFill patternType="solid">
        <fgColor rgb="FFFFC000"/>
        <bgColor indexed="64"/>
      </patternFill>
    </fill>
    <fill>
      <patternFill patternType="solid">
        <fgColor rgb="FFFFF2CC"/>
        <bgColor indexed="64"/>
      </patternFill>
    </fill>
    <fill>
      <patternFill patternType="solid">
        <fgColor rgb="FFBFBFBF"/>
        <bgColor indexed="64"/>
      </patternFill>
    </fill>
    <fill>
      <patternFill patternType="solid">
        <fgColor rgb="FF2ECBFF"/>
        <bgColor indexed="64"/>
      </patternFill>
    </fill>
    <fill>
      <patternFill patternType="solid">
        <fgColor rgb="FFD7F3FE"/>
        <bgColor indexed="64"/>
      </patternFill>
    </fill>
    <fill>
      <patternFill patternType="solid">
        <fgColor theme="2"/>
        <bgColor indexed="64"/>
      </patternFill>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s>
  <borders count="23">
    <border>
      <left/>
      <right/>
      <top/>
      <bottom/>
      <diagonal/>
    </border>
    <border>
      <left style="thin">
        <color rgb="FFCECECE"/>
      </left>
      <right/>
      <top style="thin">
        <color rgb="FFCECECE"/>
      </top>
      <bottom style="thin">
        <color rgb="FFCECECE"/>
      </bottom>
      <diagonal/>
    </border>
    <border>
      <left style="thin">
        <color rgb="FFFFFFFF"/>
      </left>
      <right style="thin">
        <color rgb="FFCECECE"/>
      </right>
      <top style="thin">
        <color rgb="FFCECECE"/>
      </top>
      <bottom style="thin">
        <color rgb="FFCECECE"/>
      </bottom>
      <diagonal/>
    </border>
    <border>
      <left/>
      <right style="thick">
        <color rgb="FFEBB000"/>
      </right>
      <top/>
      <bottom/>
      <diagonal/>
    </border>
    <border>
      <left style="thick">
        <color rgb="FFEBB000"/>
      </left>
      <right style="thick">
        <color rgb="FFEBB000"/>
      </right>
      <top/>
      <bottom/>
      <diagonal/>
    </border>
    <border>
      <left style="thick">
        <color rgb="FFEBB000"/>
      </left>
      <right style="thick">
        <color rgb="FFFFC000"/>
      </right>
      <top/>
      <bottom/>
      <diagonal/>
    </border>
    <border>
      <left style="thick">
        <color rgb="FFFFC000"/>
      </left>
      <right style="thick">
        <color rgb="FFFFC000"/>
      </right>
      <top/>
      <bottom style="thick">
        <color rgb="FFFFC000"/>
      </bottom>
      <diagonal/>
    </border>
    <border>
      <left/>
      <right/>
      <top style="thick">
        <color rgb="FFFFC000"/>
      </top>
      <bottom/>
      <diagonal/>
    </border>
    <border>
      <left/>
      <right style="thick">
        <color rgb="FF0FC3FF"/>
      </right>
      <top/>
      <bottom/>
      <diagonal/>
    </border>
    <border>
      <left style="thick">
        <color rgb="FF0FC3FF"/>
      </left>
      <right style="thick">
        <color rgb="FF0FC3FF"/>
      </right>
      <top/>
      <bottom/>
      <diagonal/>
    </border>
    <border>
      <left style="thick">
        <color rgb="FF61D7FF"/>
      </left>
      <right style="thick">
        <color rgb="FF61D7FF"/>
      </right>
      <top/>
      <bottom style="thick">
        <color rgb="FF61D7FF"/>
      </bottom>
      <diagonal/>
    </border>
    <border>
      <left/>
      <right style="medium">
        <color rgb="FFD2D2D2"/>
      </right>
      <top/>
      <bottom/>
      <diagonal/>
    </border>
    <border>
      <left/>
      <right/>
      <top/>
      <bottom style="medium">
        <color rgb="FFD2D2D2"/>
      </bottom>
      <diagonal/>
    </border>
    <border>
      <left style="medium">
        <color rgb="FFD2D2D2"/>
      </left>
      <right/>
      <top style="medium">
        <color rgb="FFD2D2D2"/>
      </top>
      <bottom style="medium">
        <color rgb="FFD2D2D2"/>
      </bottom>
      <diagonal/>
    </border>
    <border>
      <left/>
      <right/>
      <top style="medium">
        <color rgb="FFD2D2D2"/>
      </top>
      <bottom style="medium">
        <color rgb="FFD2D2D2"/>
      </bottom>
      <diagonal/>
    </border>
    <border>
      <left/>
      <right style="medium">
        <color rgb="FFD2D2D2"/>
      </right>
      <top style="medium">
        <color rgb="FFD2D2D2"/>
      </top>
      <bottom style="medium">
        <color rgb="FFD2D2D2"/>
      </bottom>
      <diagonal/>
    </border>
    <border>
      <left style="thin">
        <color rgb="FFBFBFBF"/>
      </left>
      <right style="thick">
        <color rgb="FFBFBFBF"/>
      </right>
      <top style="thin">
        <color rgb="FFBFBFBF"/>
      </top>
      <bottom style="thick">
        <color rgb="FFBFBFBF"/>
      </bottom>
      <diagonal/>
    </border>
    <border>
      <left/>
      <right style="thin">
        <color rgb="FF999999"/>
      </right>
      <top/>
      <bottom/>
      <diagonal/>
    </border>
    <border>
      <left style="thin">
        <color rgb="FF999999"/>
      </left>
      <right style="thin">
        <color rgb="FF999999"/>
      </right>
      <top/>
      <bottom/>
      <diagonal/>
    </border>
    <border>
      <left style="thin">
        <color rgb="FFBFBFBF"/>
      </left>
      <right style="thin">
        <color rgb="FFBFBFBF"/>
      </right>
      <top style="thin">
        <color rgb="FFBFBFBF"/>
      </top>
      <bottom style="thick">
        <color rgb="FFBFBFBF"/>
      </bottom>
      <diagonal/>
    </border>
    <border>
      <left style="medium">
        <color theme="3" tint="-0.499984740745262"/>
      </left>
      <right/>
      <top style="medium">
        <color theme="3" tint="-0.499984740745262"/>
      </top>
      <bottom style="medium">
        <color theme="3" tint="-0.499984740745262"/>
      </bottom>
      <diagonal/>
    </border>
    <border>
      <left/>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s>
  <cellStyleXfs count="1">
    <xf numFmtId="0" fontId="0" fillId="0" borderId="0"/>
  </cellStyleXfs>
  <cellXfs count="88">
    <xf numFmtId="0" fontId="0" fillId="0" borderId="0" xfId="0"/>
    <xf numFmtId="0" fontId="1" fillId="2" borderId="0" xfId="0" applyFont="1" applyFill="1" applyAlignment="1">
      <alignment vertical="center"/>
    </xf>
    <xf numFmtId="0" fontId="2" fillId="2" borderId="0" xfId="0" applyFont="1" applyFill="1" applyAlignment="1">
      <alignment vertical="center"/>
    </xf>
    <xf numFmtId="0" fontId="4" fillId="2" borderId="0" xfId="0" applyFont="1" applyFill="1" applyAlignment="1">
      <alignment vertical="center"/>
    </xf>
    <xf numFmtId="0" fontId="5" fillId="2" borderId="0" xfId="0" applyFont="1" applyFill="1" applyAlignment="1">
      <alignment horizontal="right" vertical="center"/>
    </xf>
    <xf numFmtId="164" fontId="6" fillId="3" borderId="1" xfId="0" applyNumberFormat="1" applyFont="1" applyFill="1" applyBorder="1" applyAlignment="1">
      <alignment horizontal="left" vertical="center" indent="1"/>
    </xf>
    <xf numFmtId="1" fontId="1" fillId="3" borderId="2" xfId="0" applyNumberFormat="1" applyFont="1" applyFill="1" applyBorder="1" applyAlignment="1" applyProtection="1">
      <alignment horizontal="left" vertical="center" indent="1"/>
      <protection locked="0"/>
    </xf>
    <xf numFmtId="0" fontId="1" fillId="3" borderId="0" xfId="0" applyFont="1" applyFill="1" applyAlignment="1">
      <alignment vertical="center"/>
    </xf>
    <xf numFmtId="0" fontId="2" fillId="3" borderId="0" xfId="0" applyFont="1" applyFill="1" applyAlignment="1">
      <alignment vertical="center"/>
    </xf>
    <xf numFmtId="0" fontId="1" fillId="3" borderId="0" xfId="0" applyFont="1" applyFill="1" applyAlignment="1">
      <alignment horizontal="right" vertical="center" indent="1"/>
    </xf>
    <xf numFmtId="0" fontId="10" fillId="3" borderId="0" xfId="0" applyFont="1" applyFill="1" applyAlignment="1">
      <alignment horizontal="center" wrapText="1"/>
    </xf>
    <xf numFmtId="0" fontId="11" fillId="4" borderId="4" xfId="0" applyFont="1" applyFill="1" applyBorder="1" applyAlignment="1">
      <alignment horizontal="center" wrapText="1"/>
    </xf>
    <xf numFmtId="0" fontId="11" fillId="4" borderId="5" xfId="0" applyFont="1" applyFill="1" applyBorder="1" applyAlignment="1">
      <alignment horizontal="center" wrapText="1"/>
    </xf>
    <xf numFmtId="0" fontId="10" fillId="3" borderId="0" xfId="0" applyFont="1" applyFill="1" applyAlignment="1">
      <alignment vertical="center"/>
    </xf>
    <xf numFmtId="0" fontId="10" fillId="3" borderId="0" xfId="0" applyFont="1" applyFill="1" applyAlignment="1">
      <alignment horizontal="center" vertical="center"/>
    </xf>
    <xf numFmtId="0" fontId="13" fillId="5" borderId="6" xfId="0" applyFont="1" applyFill="1" applyBorder="1" applyAlignment="1">
      <alignment horizontal="center" vertical="center"/>
    </xf>
    <xf numFmtId="165" fontId="13" fillId="5" borderId="6" xfId="0" applyNumberFormat="1" applyFont="1" applyFill="1" applyBorder="1" applyAlignment="1">
      <alignment horizontal="left" vertical="center" indent="1"/>
    </xf>
    <xf numFmtId="165" fontId="1" fillId="3" borderId="0" xfId="0" applyNumberFormat="1" applyFont="1" applyFill="1" applyAlignment="1">
      <alignment horizontal="left" vertical="center" indent="1"/>
    </xf>
    <xf numFmtId="0" fontId="1" fillId="3" borderId="0" xfId="0" quotePrefix="1" applyFont="1" applyFill="1" applyAlignment="1">
      <alignment horizontal="left" vertical="center" indent="1"/>
    </xf>
    <xf numFmtId="0" fontId="11" fillId="7" borderId="8" xfId="0" applyFont="1" applyFill="1" applyBorder="1" applyAlignment="1">
      <alignment horizontal="center" wrapText="1"/>
    </xf>
    <xf numFmtId="0" fontId="11" fillId="7" borderId="9" xfId="0" applyFont="1" applyFill="1" applyBorder="1" applyAlignment="1">
      <alignment horizontal="center" wrapText="1"/>
    </xf>
    <xf numFmtId="0" fontId="13" fillId="8" borderId="10" xfId="0" applyFont="1" applyFill="1" applyBorder="1"/>
    <xf numFmtId="0" fontId="0" fillId="9" borderId="0" xfId="0" applyFill="1"/>
    <xf numFmtId="0" fontId="15" fillId="9" borderId="0" xfId="0" applyFont="1" applyFill="1"/>
    <xf numFmtId="0" fontId="9" fillId="3" borderId="0" xfId="0" applyFont="1" applyFill="1" applyAlignment="1">
      <alignment horizontal="left" vertical="center" indent="1"/>
    </xf>
    <xf numFmtId="0" fontId="0" fillId="10" borderId="0" xfId="0" applyFill="1"/>
    <xf numFmtId="0" fontId="0" fillId="10" borderId="12" xfId="0" applyFill="1" applyBorder="1"/>
    <xf numFmtId="0" fontId="0" fillId="10" borderId="12" xfId="0" applyFill="1" applyBorder="1" applyAlignment="1">
      <alignment horizontal="center"/>
    </xf>
    <xf numFmtId="0" fontId="0" fillId="10" borderId="0" xfId="0" applyFill="1" applyAlignment="1">
      <alignment horizontal="center"/>
    </xf>
    <xf numFmtId="166" fontId="0" fillId="10" borderId="0" xfId="0" applyNumberFormat="1" applyFill="1"/>
    <xf numFmtId="0" fontId="0" fillId="10" borderId="11" xfId="0" applyFill="1" applyBorder="1"/>
    <xf numFmtId="0" fontId="15" fillId="9" borderId="0" xfId="0" applyFont="1" applyFill="1" applyAlignment="1">
      <alignment horizontal="right"/>
    </xf>
    <xf numFmtId="0" fontId="0" fillId="10" borderId="0" xfId="0" applyFill="1" applyAlignment="1">
      <alignment horizontal="right"/>
    </xf>
    <xf numFmtId="0" fontId="0" fillId="9" borderId="0" xfId="0" applyFill="1" applyAlignment="1">
      <alignment horizontal="right"/>
    </xf>
    <xf numFmtId="0" fontId="0" fillId="10" borderId="0" xfId="0" applyFill="1" applyAlignment="1">
      <alignment horizontal="center" vertical="center"/>
    </xf>
    <xf numFmtId="0" fontId="0" fillId="3" borderId="0" xfId="0" applyFill="1"/>
    <xf numFmtId="0" fontId="14" fillId="6" borderId="18" xfId="0" applyFont="1" applyFill="1" applyBorder="1" applyAlignment="1">
      <alignment horizontal="center" wrapText="1"/>
    </xf>
    <xf numFmtId="165" fontId="0" fillId="3" borderId="0" xfId="0" applyNumberFormat="1" applyFill="1" applyAlignment="1">
      <alignment horizontal="left" indent="1"/>
    </xf>
    <xf numFmtId="165" fontId="21" fillId="5" borderId="19" xfId="0" applyNumberFormat="1" applyFont="1" applyFill="1" applyBorder="1" applyAlignment="1">
      <alignment horizontal="left" vertical="center" indent="1"/>
    </xf>
    <xf numFmtId="0" fontId="21" fillId="5" borderId="19" xfId="0" applyFont="1" applyFill="1" applyBorder="1" applyAlignment="1">
      <alignment horizontal="right" vertical="center" indent="1"/>
    </xf>
    <xf numFmtId="0" fontId="21" fillId="5" borderId="16" xfId="0" applyFont="1" applyFill="1" applyBorder="1" applyAlignment="1">
      <alignment horizontal="right" vertical="center" indent="1"/>
    </xf>
    <xf numFmtId="0" fontId="12" fillId="3" borderId="0" xfId="0" applyFont="1" applyFill="1"/>
    <xf numFmtId="165" fontId="22" fillId="4" borderId="3" xfId="0" applyNumberFormat="1" applyFont="1" applyFill="1" applyBorder="1" applyAlignment="1">
      <alignment horizontal="left" wrapText="1" indent="1"/>
    </xf>
    <xf numFmtId="165" fontId="23" fillId="6" borderId="17" xfId="0" applyNumberFormat="1" applyFont="1" applyFill="1" applyBorder="1" applyAlignment="1">
      <alignment horizontal="left" wrapText="1" indent="1"/>
    </xf>
    <xf numFmtId="22" fontId="0" fillId="0" borderId="0" xfId="0" applyNumberFormat="1"/>
    <xf numFmtId="166" fontId="0" fillId="0" borderId="0" xfId="0" applyNumberFormat="1"/>
    <xf numFmtId="0" fontId="16" fillId="10" borderId="0" xfId="0" applyFont="1" applyFill="1" applyAlignment="1">
      <alignment horizontal="center" vertical="center"/>
    </xf>
    <xf numFmtId="0" fontId="0" fillId="11" borderId="0" xfId="0" applyFill="1"/>
    <xf numFmtId="0" fontId="27" fillId="9" borderId="0" xfId="0" applyFont="1" applyFill="1"/>
    <xf numFmtId="0" fontId="28" fillId="10" borderId="0" xfId="0" applyFont="1" applyFill="1" applyAlignment="1">
      <alignment vertical="center" wrapText="1"/>
    </xf>
    <xf numFmtId="0" fontId="28" fillId="10" borderId="0" xfId="0" applyFont="1" applyFill="1" applyAlignment="1">
      <alignment horizontal="right"/>
    </xf>
    <xf numFmtId="0" fontId="28" fillId="10" borderId="0" xfId="0" applyFont="1" applyFill="1" applyAlignment="1">
      <alignment horizontal="center"/>
    </xf>
    <xf numFmtId="0" fontId="28" fillId="10" borderId="0" xfId="0" applyFont="1" applyFill="1" applyAlignment="1">
      <alignment horizontal="left"/>
    </xf>
    <xf numFmtId="0" fontId="0" fillId="10" borderId="0" xfId="0" applyFill="1" applyAlignment="1">
      <alignment horizontal="right" vertical="center"/>
    </xf>
    <xf numFmtId="1" fontId="0" fillId="0" borderId="0" xfId="0" applyNumberFormat="1"/>
    <xf numFmtId="0" fontId="31" fillId="0" borderId="0" xfId="0" applyFont="1"/>
    <xf numFmtId="0" fontId="32" fillId="10" borderId="0" xfId="0" applyFont="1" applyFill="1" applyAlignment="1">
      <alignment horizontal="center" vertical="center"/>
    </xf>
    <xf numFmtId="0" fontId="15" fillId="9" borderId="0" xfId="0" applyFont="1" applyFill="1" applyAlignment="1">
      <alignment wrapText="1"/>
    </xf>
    <xf numFmtId="0" fontId="35" fillId="9" borderId="0" xfId="0" applyFont="1" applyFill="1" applyAlignment="1">
      <alignment horizontal="left" vertical="center" indent="1"/>
    </xf>
    <xf numFmtId="0" fontId="33" fillId="12" borderId="20" xfId="0" applyFont="1" applyFill="1" applyBorder="1" applyAlignment="1">
      <alignment horizontal="center" vertical="center"/>
    </xf>
    <xf numFmtId="0" fontId="33" fillId="12" borderId="21" xfId="0" applyFont="1" applyFill="1" applyBorder="1" applyAlignment="1">
      <alignment horizontal="center" vertical="center"/>
    </xf>
    <xf numFmtId="0" fontId="33" fillId="12" borderId="22" xfId="0" applyFont="1" applyFill="1" applyBorder="1" applyAlignment="1">
      <alignment horizontal="center" vertical="center"/>
    </xf>
    <xf numFmtId="0" fontId="34" fillId="9" borderId="0" xfId="0" applyFont="1" applyFill="1" applyAlignment="1">
      <alignment horizontal="left" vertical="center"/>
    </xf>
    <xf numFmtId="0" fontId="18" fillId="10" borderId="12" xfId="0" applyFont="1" applyFill="1" applyBorder="1" applyAlignment="1">
      <alignment horizontal="left" vertical="center"/>
    </xf>
    <xf numFmtId="0" fontId="19" fillId="10" borderId="13" xfId="0" applyFont="1" applyFill="1" applyBorder="1" applyAlignment="1">
      <alignment horizontal="left" vertical="center" indent="1"/>
    </xf>
    <xf numFmtId="0" fontId="19" fillId="10" borderId="14" xfId="0" applyFont="1" applyFill="1" applyBorder="1" applyAlignment="1">
      <alignment horizontal="left" vertical="center" indent="1"/>
    </xf>
    <xf numFmtId="0" fontId="19" fillId="10" borderId="15" xfId="0" applyFont="1" applyFill="1" applyBorder="1" applyAlignment="1">
      <alignment horizontal="left" vertical="center" indent="1"/>
    </xf>
    <xf numFmtId="0" fontId="17" fillId="10" borderId="12" xfId="0" applyFont="1" applyFill="1" applyBorder="1" applyAlignment="1">
      <alignment horizontal="left" vertical="center"/>
    </xf>
    <xf numFmtId="0" fontId="0" fillId="10" borderId="0" xfId="0" applyFill="1" applyAlignment="1">
      <alignment horizontal="right" vertical="center"/>
    </xf>
    <xf numFmtId="0" fontId="28" fillId="10" borderId="0" xfId="0" applyFont="1" applyFill="1" applyAlignment="1">
      <alignment vertical="top" wrapText="1"/>
    </xf>
    <xf numFmtId="167" fontId="26" fillId="10" borderId="0" xfId="0" applyNumberFormat="1" applyFont="1" applyFill="1" applyAlignment="1">
      <alignment horizontal="center" vertical="center"/>
    </xf>
    <xf numFmtId="0" fontId="28" fillId="10" borderId="0" xfId="0" applyFont="1" applyFill="1" applyAlignment="1">
      <alignment horizontal="left" vertical="center" wrapText="1"/>
    </xf>
    <xf numFmtId="0" fontId="28" fillId="10" borderId="0" xfId="0" applyFont="1" applyFill="1" applyAlignment="1">
      <alignment horizontal="left"/>
    </xf>
    <xf numFmtId="0" fontId="28" fillId="10" borderId="0" xfId="0" applyFont="1" applyFill="1" applyAlignment="1">
      <alignment horizontal="right"/>
    </xf>
    <xf numFmtId="0" fontId="17" fillId="10" borderId="0" xfId="0" applyFont="1" applyFill="1" applyAlignment="1">
      <alignment horizontal="left" vertical="center"/>
    </xf>
    <xf numFmtId="0" fontId="25" fillId="10" borderId="0" xfId="0" applyFont="1" applyFill="1" applyAlignment="1">
      <alignment horizontal="center" vertical="center"/>
    </xf>
    <xf numFmtId="0" fontId="19" fillId="10" borderId="0" xfId="0" applyFont="1" applyFill="1" applyAlignment="1">
      <alignment horizontal="left" vertical="center"/>
    </xf>
    <xf numFmtId="0" fontId="24" fillId="10" borderId="0" xfId="0" applyFont="1" applyFill="1" applyAlignment="1">
      <alignment horizontal="center" vertical="center"/>
    </xf>
    <xf numFmtId="0" fontId="0" fillId="0" borderId="0" xfId="0" applyAlignment="1">
      <alignment horizontal="center" wrapText="1"/>
    </xf>
    <xf numFmtId="0" fontId="3" fillId="3" borderId="0" xfId="0" applyFont="1" applyFill="1" applyAlignment="1">
      <alignment horizontal="left" indent="1"/>
    </xf>
    <xf numFmtId="0" fontId="1" fillId="3" borderId="0" xfId="0" applyFont="1" applyFill="1" applyAlignment="1">
      <alignment horizontal="left" vertical="top" wrapText="1" indent="1"/>
    </xf>
    <xf numFmtId="0" fontId="9" fillId="3" borderId="0" xfId="0" applyFont="1" applyFill="1" applyAlignment="1">
      <alignment horizontal="left" vertical="center" indent="1"/>
    </xf>
    <xf numFmtId="0" fontId="9" fillId="3" borderId="7" xfId="0" applyFont="1" applyFill="1" applyBorder="1" applyAlignment="1">
      <alignment horizontal="left" vertical="center" indent="1"/>
    </xf>
    <xf numFmtId="0" fontId="8" fillId="3" borderId="0" xfId="0" applyFont="1" applyFill="1" applyAlignment="1">
      <alignment vertical="center"/>
    </xf>
    <xf numFmtId="0" fontId="3" fillId="2" borderId="0" xfId="0" applyFont="1" applyFill="1" applyAlignment="1">
      <alignment horizontal="left" indent="1"/>
    </xf>
    <xf numFmtId="0" fontId="1" fillId="2" borderId="0" xfId="0" applyFont="1" applyFill="1" applyAlignment="1">
      <alignment horizontal="left" vertical="top" wrapText="1" indent="1"/>
    </xf>
    <xf numFmtId="0" fontId="7" fillId="2" borderId="0" xfId="0" applyFont="1" applyFill="1" applyAlignment="1">
      <alignment horizontal="left" vertical="center" wrapText="1" indent="1"/>
    </xf>
    <xf numFmtId="0" fontId="29" fillId="10" borderId="0" xfId="0" applyFont="1" applyFill="1" applyAlignment="1"/>
  </cellXfs>
  <cellStyles count="1">
    <cellStyle name="Normal" xfId="0" builtinId="0"/>
  </cellStyles>
  <dxfs count="2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theme="4"/>
      </font>
    </dxf>
    <dxf>
      <numFmt numFmtId="0" formatCode="General"/>
    </dxf>
    <dxf>
      <numFmt numFmtId="0" formatCode="General"/>
    </dxf>
  </dxfs>
  <tableStyles count="1" defaultTableStyle="TableStyleMedium2" defaultPivotStyle="PivotStyleLight16">
    <tableStyle name="Invisible" pivot="0" table="0" count="0" xr9:uid="{E88B596A-6D15-4A9B-8E9F-828395F3755C}"/>
  </tableStyles>
  <colors>
    <mruColors>
      <color rgb="FF494949"/>
      <color rgb="FFD2D2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png"/><Relationship Id="rId3" Type="http://schemas.openxmlformats.org/officeDocument/2006/relationships/image" Target="../media/image1.png"/><Relationship Id="rId7" Type="http://schemas.openxmlformats.org/officeDocument/2006/relationships/image" Target="../media/image5.png"/><Relationship Id="rId12" Type="http://schemas.openxmlformats.org/officeDocument/2006/relationships/image" Target="../media/image10.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image" Target="../media/image3.png"/><Relationship Id="rId10" Type="http://schemas.openxmlformats.org/officeDocument/2006/relationships/image" Target="../media/image8.png"/><Relationship Id="rId4" Type="http://schemas.openxmlformats.org/officeDocument/2006/relationships/image" Target="../media/image2.png"/><Relationship Id="rId9" Type="http://schemas.openxmlformats.org/officeDocument/2006/relationships/image" Target="../media/image7.png"/><Relationship Id="rId14" Type="http://schemas.openxmlformats.org/officeDocument/2006/relationships/image" Target="../media/image12.png"/></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charts/_rels/chart6.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0.99184218229810117"/>
        </c:manualLayout>
      </c:layout>
      <c:barChart>
        <c:barDir val="col"/>
        <c:grouping val="stacked"/>
        <c:varyColors val="0"/>
        <c:ser>
          <c:idx val="0"/>
          <c:order val="0"/>
          <c:tx>
            <c:strRef>
              <c:f>Backend!$AC$3</c:f>
              <c:strCache>
                <c:ptCount val="1"/>
                <c:pt idx="0">
                  <c:v>0</c:v>
                </c:pt>
              </c:strCache>
            </c:strRef>
          </c:tx>
          <c:spPr>
            <a:blipFill>
              <a:blip xmlns:r="http://schemas.openxmlformats.org/officeDocument/2006/relationships" r:embed="rId3"/>
              <a:stretch>
                <a:fillRect/>
              </a:stretch>
            </a:blipFill>
            <a:ln>
              <a:noFill/>
            </a:ln>
            <a:effectLst/>
          </c:spPr>
          <c:invertIfNegative val="0"/>
          <c:dPt>
            <c:idx val="0"/>
            <c:invertIfNegative val="0"/>
            <c:bubble3D val="0"/>
            <c:extLst>
              <c:ext xmlns:c16="http://schemas.microsoft.com/office/drawing/2014/chart" uri="{C3380CC4-5D6E-409C-BE32-E72D297353CC}">
                <c16:uniqueId val="{00000000-894E-4485-8B97-6807A750755B}"/>
              </c:ext>
            </c:extLst>
          </c:dPt>
          <c:val>
            <c:numRef>
              <c:f>Backend!$AH$3</c:f>
              <c:numCache>
                <c:formatCode>General</c:formatCode>
                <c:ptCount val="1"/>
                <c:pt idx="0">
                  <c:v>#N/A</c:v>
                </c:pt>
              </c:numCache>
            </c:numRef>
          </c:val>
          <c:extLst>
            <c:ext xmlns:c16="http://schemas.microsoft.com/office/drawing/2014/chart" uri="{C3380CC4-5D6E-409C-BE32-E72D297353CC}">
              <c16:uniqueId val="{00000001-894E-4485-8B97-6807A750755B}"/>
            </c:ext>
          </c:extLst>
        </c:ser>
        <c:ser>
          <c:idx val="1"/>
          <c:order val="1"/>
          <c:tx>
            <c:strRef>
              <c:f>Backend!$AC$4</c:f>
              <c:strCache>
                <c:ptCount val="1"/>
                <c:pt idx="0">
                  <c:v>1</c:v>
                </c:pt>
              </c:strCache>
            </c:strRef>
          </c:tx>
          <c:spPr>
            <a:blipFill>
              <a:blip xmlns:r="http://schemas.openxmlformats.org/officeDocument/2006/relationships" r:embed="rId3"/>
              <a:stretch>
                <a:fillRect/>
              </a:stretch>
            </a:blipFill>
            <a:ln>
              <a:noFill/>
            </a:ln>
            <a:effectLst/>
          </c:spPr>
          <c:invertIfNegative val="0"/>
          <c:val>
            <c:numRef>
              <c:f>Backend!$AH$4</c:f>
              <c:numCache>
                <c:formatCode>General</c:formatCode>
                <c:ptCount val="1"/>
                <c:pt idx="0">
                  <c:v>#N/A</c:v>
                </c:pt>
              </c:numCache>
            </c:numRef>
          </c:val>
          <c:extLst>
            <c:ext xmlns:c16="http://schemas.microsoft.com/office/drawing/2014/chart" uri="{C3380CC4-5D6E-409C-BE32-E72D297353CC}">
              <c16:uniqueId val="{00000002-894E-4485-8B97-6807A750755B}"/>
            </c:ext>
          </c:extLst>
        </c:ser>
        <c:ser>
          <c:idx val="2"/>
          <c:order val="2"/>
          <c:tx>
            <c:strRef>
              <c:f>Backend!$AC$5</c:f>
              <c:strCache>
                <c:ptCount val="1"/>
                <c:pt idx="0">
                  <c:v>2</c:v>
                </c:pt>
              </c:strCache>
            </c:strRef>
          </c:tx>
          <c:spPr>
            <a:blipFill>
              <a:blip xmlns:r="http://schemas.openxmlformats.org/officeDocument/2006/relationships" r:embed="rId4"/>
              <a:stretch>
                <a:fillRect/>
              </a:stretch>
            </a:blipFill>
            <a:ln>
              <a:noFill/>
            </a:ln>
            <a:effectLst/>
          </c:spPr>
          <c:invertIfNegative val="0"/>
          <c:val>
            <c:numRef>
              <c:f>Backend!$AH$5</c:f>
              <c:numCache>
                <c:formatCode>General</c:formatCode>
                <c:ptCount val="1"/>
                <c:pt idx="0">
                  <c:v>1</c:v>
                </c:pt>
              </c:numCache>
            </c:numRef>
          </c:val>
          <c:extLst>
            <c:ext xmlns:c16="http://schemas.microsoft.com/office/drawing/2014/chart" uri="{C3380CC4-5D6E-409C-BE32-E72D297353CC}">
              <c16:uniqueId val="{00000003-894E-4485-8B97-6807A750755B}"/>
            </c:ext>
          </c:extLst>
        </c:ser>
        <c:ser>
          <c:idx val="3"/>
          <c:order val="3"/>
          <c:tx>
            <c:strRef>
              <c:f>Backend!$AC$6</c:f>
              <c:strCache>
                <c:ptCount val="1"/>
                <c:pt idx="0">
                  <c:v>3</c:v>
                </c:pt>
              </c:strCache>
            </c:strRef>
          </c:tx>
          <c:spPr>
            <a:blipFill>
              <a:blip xmlns:r="http://schemas.openxmlformats.org/officeDocument/2006/relationships" r:embed="rId5"/>
              <a:stretch>
                <a:fillRect/>
              </a:stretch>
            </a:blipFill>
            <a:ln>
              <a:noFill/>
            </a:ln>
            <a:effectLst/>
          </c:spPr>
          <c:invertIfNegative val="0"/>
          <c:val>
            <c:numRef>
              <c:f>Backend!$AH$6</c:f>
              <c:numCache>
                <c:formatCode>General</c:formatCode>
                <c:ptCount val="1"/>
                <c:pt idx="0">
                  <c:v>#N/A</c:v>
                </c:pt>
              </c:numCache>
            </c:numRef>
          </c:val>
          <c:extLst>
            <c:ext xmlns:c16="http://schemas.microsoft.com/office/drawing/2014/chart" uri="{C3380CC4-5D6E-409C-BE32-E72D297353CC}">
              <c16:uniqueId val="{00000004-894E-4485-8B97-6807A750755B}"/>
            </c:ext>
          </c:extLst>
        </c:ser>
        <c:ser>
          <c:idx val="4"/>
          <c:order val="4"/>
          <c:tx>
            <c:strRef>
              <c:f>Backend!$AC$7</c:f>
              <c:strCache>
                <c:ptCount val="1"/>
                <c:pt idx="0">
                  <c:v>4</c:v>
                </c:pt>
              </c:strCache>
            </c:strRef>
          </c:tx>
          <c:spPr>
            <a:blipFill>
              <a:blip xmlns:r="http://schemas.openxmlformats.org/officeDocument/2006/relationships" r:embed="rId6"/>
              <a:stretch>
                <a:fillRect/>
              </a:stretch>
            </a:blipFill>
            <a:ln>
              <a:noFill/>
            </a:ln>
            <a:effectLst/>
          </c:spPr>
          <c:invertIfNegative val="0"/>
          <c:val>
            <c:numRef>
              <c:f>Backend!$AH$7</c:f>
              <c:numCache>
                <c:formatCode>General</c:formatCode>
                <c:ptCount val="1"/>
                <c:pt idx="0">
                  <c:v>#N/A</c:v>
                </c:pt>
              </c:numCache>
            </c:numRef>
          </c:val>
          <c:extLst>
            <c:ext xmlns:c16="http://schemas.microsoft.com/office/drawing/2014/chart" uri="{C3380CC4-5D6E-409C-BE32-E72D297353CC}">
              <c16:uniqueId val="{00000005-894E-4485-8B97-6807A750755B}"/>
            </c:ext>
          </c:extLst>
        </c:ser>
        <c:ser>
          <c:idx val="5"/>
          <c:order val="5"/>
          <c:tx>
            <c:strRef>
              <c:f>Backend!$AC$8</c:f>
              <c:strCache>
                <c:ptCount val="1"/>
                <c:pt idx="0">
                  <c:v>5</c:v>
                </c:pt>
              </c:strCache>
            </c:strRef>
          </c:tx>
          <c:spPr>
            <a:blipFill>
              <a:blip xmlns:r="http://schemas.openxmlformats.org/officeDocument/2006/relationships" r:embed="rId7"/>
              <a:stretch>
                <a:fillRect/>
              </a:stretch>
            </a:blipFill>
            <a:ln>
              <a:noFill/>
            </a:ln>
            <a:effectLst/>
          </c:spPr>
          <c:invertIfNegative val="0"/>
          <c:val>
            <c:numRef>
              <c:f>Backend!$AH$8</c:f>
              <c:numCache>
                <c:formatCode>General</c:formatCode>
                <c:ptCount val="1"/>
                <c:pt idx="0">
                  <c:v>#N/A</c:v>
                </c:pt>
              </c:numCache>
            </c:numRef>
          </c:val>
          <c:extLst>
            <c:ext xmlns:c16="http://schemas.microsoft.com/office/drawing/2014/chart" uri="{C3380CC4-5D6E-409C-BE32-E72D297353CC}">
              <c16:uniqueId val="{00000006-894E-4485-8B97-6807A750755B}"/>
            </c:ext>
          </c:extLst>
        </c:ser>
        <c:ser>
          <c:idx val="6"/>
          <c:order val="6"/>
          <c:tx>
            <c:strRef>
              <c:f>Backend!$AC$9</c:f>
              <c:strCache>
                <c:ptCount val="1"/>
                <c:pt idx="0">
                  <c:v>6</c:v>
                </c:pt>
              </c:strCache>
            </c:strRef>
          </c:tx>
          <c:spPr>
            <a:blipFill>
              <a:blip xmlns:r="http://schemas.openxmlformats.org/officeDocument/2006/relationships" r:embed="rId8"/>
              <a:stretch>
                <a:fillRect/>
              </a:stretch>
            </a:blipFill>
            <a:ln>
              <a:noFill/>
            </a:ln>
            <a:effectLst/>
          </c:spPr>
          <c:invertIfNegative val="0"/>
          <c:val>
            <c:numRef>
              <c:f>Backend!$AH$9</c:f>
              <c:numCache>
                <c:formatCode>General</c:formatCode>
                <c:ptCount val="1"/>
                <c:pt idx="0">
                  <c:v>#N/A</c:v>
                </c:pt>
              </c:numCache>
            </c:numRef>
          </c:val>
          <c:extLst>
            <c:ext xmlns:c16="http://schemas.microsoft.com/office/drawing/2014/chart" uri="{C3380CC4-5D6E-409C-BE32-E72D297353CC}">
              <c16:uniqueId val="{00000007-894E-4485-8B97-6807A750755B}"/>
            </c:ext>
          </c:extLst>
        </c:ser>
        <c:ser>
          <c:idx val="7"/>
          <c:order val="7"/>
          <c:tx>
            <c:strRef>
              <c:f>Backend!$AC$10</c:f>
              <c:strCache>
                <c:ptCount val="1"/>
                <c:pt idx="0">
                  <c:v>7</c:v>
                </c:pt>
              </c:strCache>
            </c:strRef>
          </c:tx>
          <c:spPr>
            <a:blipFill>
              <a:blip xmlns:r="http://schemas.openxmlformats.org/officeDocument/2006/relationships" r:embed="rId9"/>
              <a:stretch>
                <a:fillRect/>
              </a:stretch>
            </a:blipFill>
            <a:ln>
              <a:noFill/>
            </a:ln>
            <a:effectLst/>
          </c:spPr>
          <c:invertIfNegative val="0"/>
          <c:val>
            <c:numRef>
              <c:f>Backend!$AH$10</c:f>
              <c:numCache>
                <c:formatCode>General</c:formatCode>
                <c:ptCount val="1"/>
                <c:pt idx="0">
                  <c:v>#N/A</c:v>
                </c:pt>
              </c:numCache>
            </c:numRef>
          </c:val>
          <c:extLst>
            <c:ext xmlns:c16="http://schemas.microsoft.com/office/drawing/2014/chart" uri="{C3380CC4-5D6E-409C-BE32-E72D297353CC}">
              <c16:uniqueId val="{00000008-894E-4485-8B97-6807A750755B}"/>
            </c:ext>
          </c:extLst>
        </c:ser>
        <c:ser>
          <c:idx val="8"/>
          <c:order val="8"/>
          <c:tx>
            <c:strRef>
              <c:f>Backend!$AC$11</c:f>
              <c:strCache>
                <c:ptCount val="1"/>
                <c:pt idx="0">
                  <c:v>8</c:v>
                </c:pt>
              </c:strCache>
            </c:strRef>
          </c:tx>
          <c:spPr>
            <a:blipFill>
              <a:blip xmlns:r="http://schemas.openxmlformats.org/officeDocument/2006/relationships" r:embed="rId10"/>
              <a:stretch>
                <a:fillRect/>
              </a:stretch>
            </a:blipFill>
            <a:ln>
              <a:noFill/>
            </a:ln>
            <a:effectLst/>
          </c:spPr>
          <c:invertIfNegative val="0"/>
          <c:val>
            <c:numRef>
              <c:f>Backend!$AH$11</c:f>
              <c:numCache>
                <c:formatCode>General</c:formatCode>
                <c:ptCount val="1"/>
                <c:pt idx="0">
                  <c:v>#N/A</c:v>
                </c:pt>
              </c:numCache>
            </c:numRef>
          </c:val>
          <c:extLst>
            <c:ext xmlns:c16="http://schemas.microsoft.com/office/drawing/2014/chart" uri="{C3380CC4-5D6E-409C-BE32-E72D297353CC}">
              <c16:uniqueId val="{00000009-894E-4485-8B97-6807A750755B}"/>
            </c:ext>
          </c:extLst>
        </c:ser>
        <c:ser>
          <c:idx val="9"/>
          <c:order val="9"/>
          <c:tx>
            <c:strRef>
              <c:f>Backend!$AC$12</c:f>
              <c:strCache>
                <c:ptCount val="1"/>
                <c:pt idx="0">
                  <c:v>9</c:v>
                </c:pt>
              </c:strCache>
            </c:strRef>
          </c:tx>
          <c:spPr>
            <a:blipFill>
              <a:blip xmlns:r="http://schemas.openxmlformats.org/officeDocument/2006/relationships" r:embed="rId11"/>
              <a:stretch>
                <a:fillRect/>
              </a:stretch>
            </a:blipFill>
            <a:ln>
              <a:noFill/>
            </a:ln>
            <a:effectLst/>
          </c:spPr>
          <c:invertIfNegative val="0"/>
          <c:val>
            <c:numRef>
              <c:f>Backend!$AH$12</c:f>
              <c:numCache>
                <c:formatCode>General</c:formatCode>
                <c:ptCount val="1"/>
                <c:pt idx="0">
                  <c:v>#N/A</c:v>
                </c:pt>
              </c:numCache>
            </c:numRef>
          </c:val>
          <c:extLst>
            <c:ext xmlns:c16="http://schemas.microsoft.com/office/drawing/2014/chart" uri="{C3380CC4-5D6E-409C-BE32-E72D297353CC}">
              <c16:uniqueId val="{0000000A-894E-4485-8B97-6807A750755B}"/>
            </c:ext>
          </c:extLst>
        </c:ser>
        <c:ser>
          <c:idx val="10"/>
          <c:order val="10"/>
          <c:tx>
            <c:strRef>
              <c:f>Backend!$AC$13</c:f>
              <c:strCache>
                <c:ptCount val="1"/>
                <c:pt idx="0">
                  <c:v>10</c:v>
                </c:pt>
              </c:strCache>
            </c:strRef>
          </c:tx>
          <c:spPr>
            <a:blipFill>
              <a:blip xmlns:r="http://schemas.openxmlformats.org/officeDocument/2006/relationships" r:embed="rId12"/>
              <a:stretch>
                <a:fillRect/>
              </a:stretch>
            </a:blipFill>
            <a:ln>
              <a:noFill/>
            </a:ln>
            <a:effectLst/>
          </c:spPr>
          <c:invertIfNegative val="0"/>
          <c:val>
            <c:numRef>
              <c:f>Backend!$AH$13</c:f>
              <c:numCache>
                <c:formatCode>General</c:formatCode>
                <c:ptCount val="1"/>
                <c:pt idx="0">
                  <c:v>#N/A</c:v>
                </c:pt>
              </c:numCache>
            </c:numRef>
          </c:val>
          <c:extLst>
            <c:ext xmlns:c16="http://schemas.microsoft.com/office/drawing/2014/chart" uri="{C3380CC4-5D6E-409C-BE32-E72D297353CC}">
              <c16:uniqueId val="{0000000B-894E-4485-8B97-6807A750755B}"/>
            </c:ext>
          </c:extLst>
        </c:ser>
        <c:ser>
          <c:idx val="11"/>
          <c:order val="11"/>
          <c:tx>
            <c:strRef>
              <c:f>Backend!$AC$14</c:f>
              <c:strCache>
                <c:ptCount val="1"/>
                <c:pt idx="0">
                  <c:v>11</c:v>
                </c:pt>
              </c:strCache>
            </c:strRef>
          </c:tx>
          <c:spPr>
            <a:blipFill>
              <a:blip xmlns:r="http://schemas.openxmlformats.org/officeDocument/2006/relationships" r:embed="rId13"/>
              <a:stretch>
                <a:fillRect/>
              </a:stretch>
            </a:blipFill>
            <a:ln>
              <a:noFill/>
            </a:ln>
            <a:effectLst/>
          </c:spPr>
          <c:invertIfNegative val="0"/>
          <c:val>
            <c:numRef>
              <c:f>Backend!$AH$14</c:f>
              <c:numCache>
                <c:formatCode>General</c:formatCode>
                <c:ptCount val="1"/>
                <c:pt idx="0">
                  <c:v>#N/A</c:v>
                </c:pt>
              </c:numCache>
            </c:numRef>
          </c:val>
          <c:extLst>
            <c:ext xmlns:c16="http://schemas.microsoft.com/office/drawing/2014/chart" uri="{C3380CC4-5D6E-409C-BE32-E72D297353CC}">
              <c16:uniqueId val="{0000000C-894E-4485-8B97-6807A750755B}"/>
            </c:ext>
          </c:extLst>
        </c:ser>
        <c:ser>
          <c:idx val="12"/>
          <c:order val="12"/>
          <c:tx>
            <c:strRef>
              <c:f>Backend!$AC$15</c:f>
              <c:strCache>
                <c:ptCount val="1"/>
                <c:pt idx="0">
                  <c:v>12</c:v>
                </c:pt>
              </c:strCache>
            </c:strRef>
          </c:tx>
          <c:spPr>
            <a:blipFill>
              <a:blip xmlns:r="http://schemas.openxmlformats.org/officeDocument/2006/relationships" r:embed="rId14"/>
              <a:stretch>
                <a:fillRect/>
              </a:stretch>
            </a:blipFill>
            <a:ln>
              <a:noFill/>
            </a:ln>
            <a:effectLst/>
          </c:spPr>
          <c:invertIfNegative val="0"/>
          <c:val>
            <c:numRef>
              <c:f>Backend!$AH$15</c:f>
              <c:numCache>
                <c:formatCode>General</c:formatCode>
                <c:ptCount val="1"/>
                <c:pt idx="0">
                  <c:v>#N/A</c:v>
                </c:pt>
              </c:numCache>
            </c:numRef>
          </c:val>
          <c:extLst>
            <c:ext xmlns:c16="http://schemas.microsoft.com/office/drawing/2014/chart" uri="{C3380CC4-5D6E-409C-BE32-E72D297353CC}">
              <c16:uniqueId val="{0000000D-894E-4485-8B97-6807A750755B}"/>
            </c:ext>
          </c:extLst>
        </c:ser>
        <c:dLbls>
          <c:showLegendKey val="0"/>
          <c:showVal val="0"/>
          <c:showCatName val="0"/>
          <c:showSerName val="0"/>
          <c:showPercent val="0"/>
          <c:showBubbleSize val="0"/>
        </c:dLbls>
        <c:gapWidth val="0"/>
        <c:overlap val="100"/>
        <c:axId val="90968720"/>
        <c:axId val="1886967712"/>
      </c:barChart>
      <c:catAx>
        <c:axId val="90968720"/>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967712"/>
        <c:crosses val="autoZero"/>
        <c:auto val="1"/>
        <c:lblAlgn val="ctr"/>
        <c:lblOffset val="100"/>
        <c:noMultiLvlLbl val="0"/>
      </c:catAx>
      <c:valAx>
        <c:axId val="1886967712"/>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8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8501567512394284"/>
        </c:manualLayout>
      </c:layout>
      <c:barChart>
        <c:barDir val="col"/>
        <c:grouping val="stacked"/>
        <c:varyColors val="0"/>
        <c:ser>
          <c:idx val="0"/>
          <c:order val="0"/>
          <c:tx>
            <c:strRef>
              <c:f>Backend!$B$19</c:f>
              <c:strCache>
                <c:ptCount val="1"/>
                <c:pt idx="0">
                  <c:v>TempC</c:v>
                </c:pt>
              </c:strCache>
            </c:strRef>
          </c:tx>
          <c:spPr>
            <a:solidFill>
              <a:schemeClr val="accent1"/>
            </a:solidFill>
            <a:ln>
              <a:noFill/>
            </a:ln>
            <a:effectLst/>
          </c:spPr>
          <c:invertIfNegative val="0"/>
          <c:val>
            <c:numRef>
              <c:f>Backend!$C$19</c:f>
              <c:numCache>
                <c:formatCode>0.0</c:formatCode>
                <c:ptCount val="1"/>
                <c:pt idx="0">
                  <c:v>15.555555555555555</c:v>
                </c:pt>
              </c:numCache>
            </c:numRef>
          </c:val>
          <c:extLst>
            <c:ext xmlns:c16="http://schemas.microsoft.com/office/drawing/2014/chart" uri="{C3380CC4-5D6E-409C-BE32-E72D297353CC}">
              <c16:uniqueId val="{00000000-E4E9-4247-8E4E-B2534F8E3AEE}"/>
            </c:ext>
          </c:extLst>
        </c:ser>
        <c:ser>
          <c:idx val="1"/>
          <c:order val="1"/>
          <c:tx>
            <c:strRef>
              <c:f>Backend!$B$20</c:f>
              <c:strCache>
                <c:ptCount val="1"/>
                <c:pt idx="0">
                  <c:v>TempGauge</c:v>
                </c:pt>
              </c:strCache>
            </c:strRef>
          </c:tx>
          <c:spPr>
            <a:solidFill>
              <a:schemeClr val="accent2"/>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2-E4E9-4247-8E4E-B2534F8E3AEE}"/>
              </c:ext>
            </c:extLst>
          </c:dPt>
          <c:val>
            <c:numRef>
              <c:f>Backend!$C$20</c:f>
              <c:numCache>
                <c:formatCode>0.0</c:formatCode>
                <c:ptCount val="1"/>
                <c:pt idx="0">
                  <c:v>24.444444444444443</c:v>
                </c:pt>
              </c:numCache>
            </c:numRef>
          </c:val>
          <c:extLst>
            <c:ext xmlns:c16="http://schemas.microsoft.com/office/drawing/2014/chart" uri="{C3380CC4-5D6E-409C-BE32-E72D297353CC}">
              <c16:uniqueId val="{00000003-E4E9-4247-8E4E-B2534F8E3AEE}"/>
            </c:ext>
          </c:extLst>
        </c:ser>
        <c:dLbls>
          <c:showLegendKey val="0"/>
          <c:showVal val="0"/>
          <c:showCatName val="0"/>
          <c:showSerName val="0"/>
          <c:showPercent val="0"/>
          <c:showBubbleSize val="0"/>
        </c:dLbls>
        <c:gapWidth val="0"/>
        <c:overlap val="100"/>
        <c:axId val="1881431536"/>
        <c:axId val="1304227984"/>
      </c:barChart>
      <c:catAx>
        <c:axId val="1881431536"/>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227984"/>
        <c:crosses val="autoZero"/>
        <c:auto val="1"/>
        <c:lblAlgn val="ctr"/>
        <c:lblOffset val="100"/>
        <c:noMultiLvlLbl val="0"/>
      </c:catAx>
      <c:valAx>
        <c:axId val="1304227984"/>
        <c:scaling>
          <c:orientation val="minMax"/>
          <c:max val="40"/>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143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spPr>
            <a:ln w="19050" cap="rnd">
              <a:noFill/>
              <a:round/>
            </a:ln>
            <a:effectLst/>
          </c:spPr>
          <c:marker>
            <c:symbol val="circle"/>
            <c:size val="5"/>
            <c:spPr>
              <a:noFill/>
              <a:ln w="9525">
                <a:noFill/>
              </a:ln>
              <a:effectLst/>
            </c:spPr>
          </c:marker>
          <c:dLbls>
            <c:dLbl>
              <c:idx val="0"/>
              <c:tx>
                <c:rich>
                  <a:bodyPr/>
                  <a:lstStyle/>
                  <a:p>
                    <a:fld id="{756B8636-26A4-4E8C-93BC-360DBD0F444F}"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815-497B-944A-A81C6BC4B55B}"/>
                </c:ext>
              </c:extLst>
            </c:dLbl>
            <c:dLbl>
              <c:idx val="1"/>
              <c:tx>
                <c:rich>
                  <a:bodyPr/>
                  <a:lstStyle/>
                  <a:p>
                    <a:fld id="{51211BD0-2EDF-40D5-84E8-3C2765BBF0E1}"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815-497B-944A-A81C6BC4B55B}"/>
                </c:ext>
              </c:extLst>
            </c:dLbl>
            <c:dLbl>
              <c:idx val="2"/>
              <c:tx>
                <c:rich>
                  <a:bodyPr/>
                  <a:lstStyle/>
                  <a:p>
                    <a:fld id="{AC588544-6D4C-4997-9E11-0497517E0881}"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815-497B-944A-A81C6BC4B55B}"/>
                </c:ext>
              </c:extLst>
            </c:dLbl>
            <c:dLbl>
              <c:idx val="3"/>
              <c:tx>
                <c:rich>
                  <a:bodyPr/>
                  <a:lstStyle/>
                  <a:p>
                    <a:fld id="{94EB2A79-FCEB-45A7-8A63-582C0C0F16FC}"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815-497B-944A-A81C6BC4B55B}"/>
                </c:ext>
              </c:extLst>
            </c:dLbl>
            <c:dLbl>
              <c:idx val="4"/>
              <c:tx>
                <c:rich>
                  <a:bodyPr/>
                  <a:lstStyle/>
                  <a:p>
                    <a:fld id="{A78CAB2C-343A-4B87-A083-ABC95313A100}"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815-497B-944A-A81C6BC4B55B}"/>
                </c:ext>
              </c:extLst>
            </c:dLbl>
            <c:dLbl>
              <c:idx val="5"/>
              <c:tx>
                <c:rich>
                  <a:bodyPr/>
                  <a:lstStyle/>
                  <a:p>
                    <a:fld id="{7B641497-AB6F-4FAE-B086-EBA12DA665C2}"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815-497B-944A-A81C6BC4B55B}"/>
                </c:ext>
              </c:extLst>
            </c:dLbl>
            <c:dLbl>
              <c:idx val="6"/>
              <c:tx>
                <c:rich>
                  <a:bodyPr/>
                  <a:lstStyle/>
                  <a:p>
                    <a:fld id="{C2F76221-75CC-41CE-867C-540AB88FE756}"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815-497B-944A-A81C6BC4B55B}"/>
                </c:ext>
              </c:extLst>
            </c:dLbl>
            <c:dLbl>
              <c:idx val="7"/>
              <c:tx>
                <c:rich>
                  <a:bodyPr/>
                  <a:lstStyle/>
                  <a:p>
                    <a:fld id="{FF111C52-E82E-48DE-8B96-C0A85D97B526}"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815-497B-944A-A81C6BC4B55B}"/>
                </c:ext>
              </c:extLst>
            </c:dLbl>
            <c:dLbl>
              <c:idx val="8"/>
              <c:tx>
                <c:rich>
                  <a:bodyPr/>
                  <a:lstStyle/>
                  <a:p>
                    <a:fld id="{9D0766B5-2DB2-4A1E-B487-0EFCC6933BF9}"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815-497B-944A-A81C6BC4B55B}"/>
                </c:ext>
              </c:extLst>
            </c:dLbl>
            <c:dLbl>
              <c:idx val="9"/>
              <c:tx>
                <c:rich>
                  <a:bodyPr/>
                  <a:lstStyle/>
                  <a:p>
                    <a:fld id="{29AA8363-5462-453F-93B4-7688FCD16323}"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815-497B-944A-A81C6BC4B55B}"/>
                </c:ext>
              </c:extLst>
            </c:dLbl>
            <c:dLbl>
              <c:idx val="10"/>
              <c:tx>
                <c:rich>
                  <a:bodyPr/>
                  <a:lstStyle/>
                  <a:p>
                    <a:fld id="{C4616AFC-70C7-49FA-BBAE-2782E704C11A}"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815-497B-944A-A81C6BC4B55B}"/>
                </c:ext>
              </c:extLst>
            </c:dLbl>
            <c:dLbl>
              <c:idx val="11"/>
              <c:tx>
                <c:rich>
                  <a:bodyPr/>
                  <a:lstStyle/>
                  <a:p>
                    <a:fld id="{7D2B093B-06E8-4225-9E47-84DFC5F43DCC}"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815-497B-944A-A81C6BC4B55B}"/>
                </c:ext>
              </c:extLst>
            </c:dLbl>
            <c:dLbl>
              <c:idx val="12"/>
              <c:tx>
                <c:rich>
                  <a:bodyPr/>
                  <a:lstStyle/>
                  <a:p>
                    <a:fld id="{44651C30-4050-49B0-BABF-431F8FACADAC}"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815-497B-944A-A81C6BC4B5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Backend!$AO$3:$AO$15</c:f>
              <c:numCache>
                <c:formatCode>General</c:formatCode>
                <c:ptCount val="13"/>
                <c:pt idx="0">
                  <c:v>-0.8660254037844386</c:v>
                </c:pt>
                <c:pt idx="1">
                  <c:v>-0.98480775301220802</c:v>
                </c:pt>
                <c:pt idx="2">
                  <c:v>-0.98480775301220802</c:v>
                </c:pt>
                <c:pt idx="3">
                  <c:v>-0.86602540378443871</c:v>
                </c:pt>
                <c:pt idx="4">
                  <c:v>-0.64278760968653936</c:v>
                </c:pt>
                <c:pt idx="5">
                  <c:v>-0.34202014332566871</c:v>
                </c:pt>
                <c:pt idx="6">
                  <c:v>6.1257422745431001E-17</c:v>
                </c:pt>
                <c:pt idx="7">
                  <c:v>0.34202014332566882</c:v>
                </c:pt>
                <c:pt idx="8">
                  <c:v>0.64278760968653936</c:v>
                </c:pt>
                <c:pt idx="9">
                  <c:v>0.86602540378443871</c:v>
                </c:pt>
                <c:pt idx="10">
                  <c:v>0.98480775301220802</c:v>
                </c:pt>
                <c:pt idx="11">
                  <c:v>0.98480775301220802</c:v>
                </c:pt>
                <c:pt idx="12">
                  <c:v>0.86602540378443837</c:v>
                </c:pt>
              </c:numCache>
            </c:numRef>
          </c:xVal>
          <c:yVal>
            <c:numRef>
              <c:f>Backend!$AP$3:$AP$15</c:f>
              <c:numCache>
                <c:formatCode>General</c:formatCode>
                <c:ptCount val="13"/>
                <c:pt idx="0">
                  <c:v>-0.50000000000000011</c:v>
                </c:pt>
                <c:pt idx="1">
                  <c:v>-0.17364817766693047</c:v>
                </c:pt>
                <c:pt idx="2">
                  <c:v>0.17364817766693028</c:v>
                </c:pt>
                <c:pt idx="3">
                  <c:v>0.49999999999999994</c:v>
                </c:pt>
                <c:pt idx="4">
                  <c:v>0.76604444311897801</c:v>
                </c:pt>
                <c:pt idx="5">
                  <c:v>0.93969262078590843</c:v>
                </c:pt>
                <c:pt idx="6">
                  <c:v>1</c:v>
                </c:pt>
                <c:pt idx="7">
                  <c:v>0.93969262078590832</c:v>
                </c:pt>
                <c:pt idx="8">
                  <c:v>0.76604444311897801</c:v>
                </c:pt>
                <c:pt idx="9">
                  <c:v>0.49999999999999994</c:v>
                </c:pt>
                <c:pt idx="10">
                  <c:v>0.17364817766693033</c:v>
                </c:pt>
                <c:pt idx="11">
                  <c:v>-0.17364817766693039</c:v>
                </c:pt>
                <c:pt idx="12">
                  <c:v>-0.50000000000000044</c:v>
                </c:pt>
              </c:numCache>
            </c:numRef>
          </c:yVal>
          <c:smooth val="0"/>
          <c:extLst>
            <c:ext xmlns:c15="http://schemas.microsoft.com/office/drawing/2012/chart" uri="{02D57815-91ED-43cb-92C2-25804820EDAC}">
              <c15:datalabelsRange>
                <c15:f>Backend!$AL$3:$AL$15</c15:f>
                <c15:dlblRangeCache>
                  <c:ptCount val="13"/>
                  <c:pt idx="0">
                    <c:v>0</c:v>
                  </c:pt>
                  <c:pt idx="1">
                    <c:v>10</c:v>
                  </c:pt>
                  <c:pt idx="2">
                    <c:v>20</c:v>
                  </c:pt>
                  <c:pt idx="3">
                    <c:v>30</c:v>
                  </c:pt>
                  <c:pt idx="4">
                    <c:v>40</c:v>
                  </c:pt>
                  <c:pt idx="5">
                    <c:v>50</c:v>
                  </c:pt>
                  <c:pt idx="6">
                    <c:v>60</c:v>
                  </c:pt>
                  <c:pt idx="7">
                    <c:v>70</c:v>
                  </c:pt>
                  <c:pt idx="8">
                    <c:v>80</c:v>
                  </c:pt>
                  <c:pt idx="9">
                    <c:v>90</c:v>
                  </c:pt>
                  <c:pt idx="10">
                    <c:v>100</c:v>
                  </c:pt>
                  <c:pt idx="11">
                    <c:v>110</c:v>
                  </c:pt>
                  <c:pt idx="12">
                    <c:v>120</c:v>
                  </c:pt>
                </c15:dlblRangeCache>
              </c15:datalabelsRange>
            </c:ext>
            <c:ext xmlns:c16="http://schemas.microsoft.com/office/drawing/2014/chart" uri="{C3380CC4-5D6E-409C-BE32-E72D297353CC}">
              <c16:uniqueId val="{0000000D-8815-497B-944A-A81C6BC4B55B}"/>
            </c:ext>
          </c:extLst>
        </c:ser>
        <c:dLbls>
          <c:showLegendKey val="0"/>
          <c:showVal val="0"/>
          <c:showCatName val="0"/>
          <c:showSerName val="0"/>
          <c:showPercent val="0"/>
          <c:showBubbleSize val="0"/>
        </c:dLbls>
        <c:axId val="1307199328"/>
        <c:axId val="84778016"/>
      </c:scatterChart>
      <c:valAx>
        <c:axId val="1307199328"/>
        <c:scaling>
          <c:orientation val="minMax"/>
          <c:max val="1.5"/>
          <c:min val="-1.5"/>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778016"/>
        <c:crosses val="autoZero"/>
        <c:crossBetween val="midCat"/>
      </c:valAx>
      <c:valAx>
        <c:axId val="84778016"/>
        <c:scaling>
          <c:orientation val="minMax"/>
          <c:max val="1.5"/>
          <c:min val="-1.5"/>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7199328"/>
        <c:crosses val="autoZero"/>
        <c:crossBetween val="midCat"/>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846440667178262E-2"/>
          <c:y val="4.282407407407407E-2"/>
          <c:w val="0.88530465949820791"/>
          <c:h val="0.95254629629629628"/>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41BB-4788-BA82-E72AE7F18EE2}"/>
              </c:ext>
            </c:extLst>
          </c:dPt>
          <c:dPt>
            <c:idx val="1"/>
            <c:bubble3D val="0"/>
            <c:spPr>
              <a:solidFill>
                <a:schemeClr val="bg2"/>
              </a:solidFill>
              <a:ln w="19050">
                <a:noFill/>
              </a:ln>
              <a:effectLst/>
            </c:spPr>
            <c:extLst>
              <c:ext xmlns:c16="http://schemas.microsoft.com/office/drawing/2014/chart" uri="{C3380CC4-5D6E-409C-BE32-E72D297353CC}">
                <c16:uniqueId val="{00000003-41BB-4788-BA82-E72AE7F18EE2}"/>
              </c:ext>
            </c:extLst>
          </c:dPt>
          <c:cat>
            <c:strRef>
              <c:f>Backend!$B$21:$B$22</c:f>
              <c:strCache>
                <c:ptCount val="2"/>
                <c:pt idx="0">
                  <c:v>WindSpeed</c:v>
                </c:pt>
                <c:pt idx="1">
                  <c:v>Gauge</c:v>
                </c:pt>
              </c:strCache>
            </c:strRef>
          </c:cat>
          <c:val>
            <c:numRef>
              <c:f>Backend!$C$21:$C$22</c:f>
              <c:numCache>
                <c:formatCode>0</c:formatCode>
                <c:ptCount val="2"/>
                <c:pt idx="0">
                  <c:v>8.0467200000000005</c:v>
                </c:pt>
                <c:pt idx="1">
                  <c:v>171.95328000000001</c:v>
                </c:pt>
              </c:numCache>
            </c:numRef>
          </c:val>
          <c:extLst>
            <c:ext xmlns:c16="http://schemas.microsoft.com/office/drawing/2014/chart" uri="{C3380CC4-5D6E-409C-BE32-E72D297353CC}">
              <c16:uniqueId val="{00000004-41BB-4788-BA82-E72AE7F18EE2}"/>
            </c:ext>
          </c:extLst>
        </c:ser>
        <c:dLbls>
          <c:showLegendKey val="0"/>
          <c:showVal val="0"/>
          <c:showCatName val="0"/>
          <c:showSerName val="0"/>
          <c:showPercent val="0"/>
          <c:showBubbleSize val="0"/>
          <c:showLeaderLines val="1"/>
        </c:dLbls>
        <c:firstSliceAng val="24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Cities</c:v>
          </c:tx>
          <c:spPr>
            <a:ln w="25400" cap="rnd">
              <a:noFill/>
              <a:round/>
            </a:ln>
            <a:effectLst/>
          </c:spPr>
          <c:marker>
            <c:symbol val="circle"/>
            <c:size val="7"/>
            <c:spPr>
              <a:noFill/>
              <a:ln w="12700">
                <a:solidFill>
                  <a:schemeClr val="tx1"/>
                </a:solidFill>
              </a:ln>
              <a:effectLst/>
            </c:spPr>
          </c:marker>
          <c:xVal>
            <c:numRef>
              <c:f>Backend!$G$3:$G$14</c:f>
              <c:numCache>
                <c:formatCode>General</c:formatCode>
                <c:ptCount val="12"/>
                <c:pt idx="0">
                  <c:v>-1</c:v>
                </c:pt>
                <c:pt idx="1">
                  <c:v>0.48</c:v>
                </c:pt>
                <c:pt idx="2">
                  <c:v>1</c:v>
                </c:pt>
                <c:pt idx="3">
                  <c:v>1.24</c:v>
                </c:pt>
                <c:pt idx="4">
                  <c:v>2.48</c:v>
                </c:pt>
                <c:pt idx="5">
                  <c:v>4.6500000000000004</c:v>
                </c:pt>
                <c:pt idx="6">
                  <c:v>2.67</c:v>
                </c:pt>
                <c:pt idx="7">
                  <c:v>2.42</c:v>
                </c:pt>
                <c:pt idx="8">
                  <c:v>1.7</c:v>
                </c:pt>
                <c:pt idx="9">
                  <c:v>1.38</c:v>
                </c:pt>
                <c:pt idx="10">
                  <c:v>3.98</c:v>
                </c:pt>
                <c:pt idx="11">
                  <c:v>5.26</c:v>
                </c:pt>
              </c:numCache>
            </c:numRef>
          </c:xVal>
          <c:yVal>
            <c:numRef>
              <c:f>Backend!$H$3:$H$14</c:f>
              <c:numCache>
                <c:formatCode>General</c:formatCode>
                <c:ptCount val="12"/>
                <c:pt idx="0">
                  <c:v>0</c:v>
                </c:pt>
                <c:pt idx="1">
                  <c:v>2.5</c:v>
                </c:pt>
                <c:pt idx="2">
                  <c:v>2.4</c:v>
                </c:pt>
                <c:pt idx="3">
                  <c:v>2.35</c:v>
                </c:pt>
                <c:pt idx="4">
                  <c:v>2.4700000000000002</c:v>
                </c:pt>
                <c:pt idx="5">
                  <c:v>2.25</c:v>
                </c:pt>
                <c:pt idx="6">
                  <c:v>2.5099999999999998</c:v>
                </c:pt>
                <c:pt idx="7">
                  <c:v>2.63</c:v>
                </c:pt>
                <c:pt idx="8">
                  <c:v>1.1299999999999999</c:v>
                </c:pt>
                <c:pt idx="9">
                  <c:v>0.7</c:v>
                </c:pt>
                <c:pt idx="10">
                  <c:v>2.11</c:v>
                </c:pt>
                <c:pt idx="11">
                  <c:v>0.72</c:v>
                </c:pt>
              </c:numCache>
            </c:numRef>
          </c:yVal>
          <c:smooth val="0"/>
          <c:extLst>
            <c:ext xmlns:c16="http://schemas.microsoft.com/office/drawing/2014/chart" uri="{C3380CC4-5D6E-409C-BE32-E72D297353CC}">
              <c16:uniqueId val="{00000000-36C4-4FE3-9611-AE7677355668}"/>
            </c:ext>
          </c:extLst>
        </c:ser>
        <c:ser>
          <c:idx val="1"/>
          <c:order val="1"/>
          <c:tx>
            <c:v>SelectedCity</c:v>
          </c:tx>
          <c:spPr>
            <a:ln w="25400" cap="rnd">
              <a:noFill/>
              <a:round/>
            </a:ln>
            <a:effectLst/>
          </c:spPr>
          <c:marker>
            <c:symbol val="picture"/>
            <c:spPr>
              <a:blipFill>
                <a:blip xmlns:r="http://schemas.openxmlformats.org/officeDocument/2006/relationships" r:embed="rId1"/>
                <a:stretch>
                  <a:fillRect/>
                </a:stretch>
              </a:blipFill>
              <a:ln w="9525">
                <a:noFill/>
              </a:ln>
              <a:effectLst/>
            </c:spPr>
          </c:marker>
          <c:xVal>
            <c:numRef>
              <c:f>Backend!$C$23</c:f>
              <c:numCache>
                <c:formatCode>General</c:formatCode>
                <c:ptCount val="1"/>
                <c:pt idx="0">
                  <c:v>0.48</c:v>
                </c:pt>
              </c:numCache>
            </c:numRef>
          </c:xVal>
          <c:yVal>
            <c:numRef>
              <c:f>Backend!$C$24</c:f>
              <c:numCache>
                <c:formatCode>General</c:formatCode>
                <c:ptCount val="1"/>
                <c:pt idx="0">
                  <c:v>2.62</c:v>
                </c:pt>
              </c:numCache>
            </c:numRef>
          </c:yVal>
          <c:smooth val="0"/>
          <c:extLst>
            <c:ext xmlns:c16="http://schemas.microsoft.com/office/drawing/2014/chart" uri="{C3380CC4-5D6E-409C-BE32-E72D297353CC}">
              <c16:uniqueId val="{00000002-36C4-4FE3-9611-AE7677355668}"/>
            </c:ext>
          </c:extLst>
        </c:ser>
        <c:dLbls>
          <c:showLegendKey val="0"/>
          <c:showVal val="0"/>
          <c:showCatName val="0"/>
          <c:showSerName val="0"/>
          <c:showPercent val="0"/>
          <c:showBubbleSize val="0"/>
        </c:dLbls>
        <c:axId val="93935824"/>
        <c:axId val="2129037264"/>
      </c:scatterChart>
      <c:valAx>
        <c:axId val="93935824"/>
        <c:scaling>
          <c:orientation val="minMax"/>
          <c:max val="5.4"/>
          <c:min val="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037264"/>
        <c:crosses val="autoZero"/>
        <c:crossBetween val="midCat"/>
      </c:valAx>
      <c:valAx>
        <c:axId val="2129037264"/>
        <c:scaling>
          <c:orientation val="minMax"/>
          <c:max val="3.14"/>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35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2"/>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solidFill>
              <a:schemeClr val="accent1"/>
            </a:solidFill>
            <a:ln>
              <a:noFill/>
            </a:ln>
            <a:effectLst/>
          </c:spPr>
          <c:invertIfNegative val="0"/>
          <c:val>
            <c:numRef>
              <c:f>Backend!$AH$3</c:f>
              <c:numCache>
                <c:formatCode>General</c:formatCode>
                <c:ptCount val="1"/>
                <c:pt idx="0">
                  <c:v>#N/A</c:v>
                </c:pt>
              </c:numCache>
            </c:numRef>
          </c:val>
          <c:extLst>
            <c:ext xmlns:c16="http://schemas.microsoft.com/office/drawing/2014/chart" uri="{C3380CC4-5D6E-409C-BE32-E72D297353CC}">
              <c16:uniqueId val="{00000000-C5F6-46A1-8CD5-A9887F0DE25E}"/>
            </c:ext>
          </c:extLst>
        </c:ser>
        <c:ser>
          <c:idx val="1"/>
          <c:order val="1"/>
          <c:spPr>
            <a:solidFill>
              <a:schemeClr val="accent2"/>
            </a:solidFill>
            <a:ln>
              <a:noFill/>
            </a:ln>
            <a:effectLst/>
          </c:spPr>
          <c:invertIfNegative val="0"/>
          <c:val>
            <c:numRef>
              <c:f>Backend!$AH$4</c:f>
              <c:numCache>
                <c:formatCode>General</c:formatCode>
                <c:ptCount val="1"/>
                <c:pt idx="0">
                  <c:v>#N/A</c:v>
                </c:pt>
              </c:numCache>
            </c:numRef>
          </c:val>
          <c:extLst>
            <c:ext xmlns:c16="http://schemas.microsoft.com/office/drawing/2014/chart" uri="{C3380CC4-5D6E-409C-BE32-E72D297353CC}">
              <c16:uniqueId val="{00000002-C5F6-46A1-8CD5-A9887F0DE25E}"/>
            </c:ext>
          </c:extLst>
        </c:ser>
        <c:ser>
          <c:idx val="2"/>
          <c:order val="2"/>
          <c:spPr>
            <a:blipFill>
              <a:blip xmlns:r="http://schemas.openxmlformats.org/officeDocument/2006/relationships" r:embed="rId3"/>
              <a:stretch>
                <a:fillRect/>
              </a:stretch>
            </a:blipFill>
            <a:ln>
              <a:noFill/>
            </a:ln>
            <a:effectLst/>
          </c:spPr>
          <c:invertIfNegative val="0"/>
          <c:val>
            <c:numRef>
              <c:f>Backend!$AH$5</c:f>
              <c:numCache>
                <c:formatCode>General</c:formatCode>
                <c:ptCount val="1"/>
                <c:pt idx="0">
                  <c:v>1</c:v>
                </c:pt>
              </c:numCache>
            </c:numRef>
          </c:val>
          <c:extLst>
            <c:ext xmlns:c16="http://schemas.microsoft.com/office/drawing/2014/chart" uri="{C3380CC4-5D6E-409C-BE32-E72D297353CC}">
              <c16:uniqueId val="{00000003-C5F6-46A1-8CD5-A9887F0DE25E}"/>
            </c:ext>
          </c:extLst>
        </c:ser>
        <c:ser>
          <c:idx val="3"/>
          <c:order val="3"/>
          <c:spPr>
            <a:solidFill>
              <a:schemeClr val="accent4"/>
            </a:solidFill>
            <a:ln>
              <a:noFill/>
            </a:ln>
            <a:effectLst/>
          </c:spPr>
          <c:invertIfNegative val="0"/>
          <c:val>
            <c:numRef>
              <c:f>Backend!$AH$6</c:f>
              <c:numCache>
                <c:formatCode>General</c:formatCode>
                <c:ptCount val="1"/>
                <c:pt idx="0">
                  <c:v>#N/A</c:v>
                </c:pt>
              </c:numCache>
            </c:numRef>
          </c:val>
          <c:extLst>
            <c:ext xmlns:c16="http://schemas.microsoft.com/office/drawing/2014/chart" uri="{C3380CC4-5D6E-409C-BE32-E72D297353CC}">
              <c16:uniqueId val="{00000004-C5F6-46A1-8CD5-A9887F0DE25E}"/>
            </c:ext>
          </c:extLst>
        </c:ser>
        <c:ser>
          <c:idx val="4"/>
          <c:order val="4"/>
          <c:spPr>
            <a:solidFill>
              <a:schemeClr val="accent5"/>
            </a:solidFill>
            <a:ln>
              <a:noFill/>
            </a:ln>
            <a:effectLst/>
          </c:spPr>
          <c:invertIfNegative val="0"/>
          <c:val>
            <c:numRef>
              <c:f>Backend!$AH$7</c:f>
              <c:numCache>
                <c:formatCode>General</c:formatCode>
                <c:ptCount val="1"/>
                <c:pt idx="0">
                  <c:v>#N/A</c:v>
                </c:pt>
              </c:numCache>
            </c:numRef>
          </c:val>
          <c:extLst>
            <c:ext xmlns:c16="http://schemas.microsoft.com/office/drawing/2014/chart" uri="{C3380CC4-5D6E-409C-BE32-E72D297353CC}">
              <c16:uniqueId val="{00000005-C5F6-46A1-8CD5-A9887F0DE25E}"/>
            </c:ext>
          </c:extLst>
        </c:ser>
        <c:ser>
          <c:idx val="5"/>
          <c:order val="5"/>
          <c:spPr>
            <a:solidFill>
              <a:schemeClr val="accent6"/>
            </a:solidFill>
            <a:ln>
              <a:noFill/>
            </a:ln>
            <a:effectLst/>
          </c:spPr>
          <c:invertIfNegative val="0"/>
          <c:val>
            <c:numRef>
              <c:f>Backend!$AH$8</c:f>
              <c:numCache>
                <c:formatCode>General</c:formatCode>
                <c:ptCount val="1"/>
                <c:pt idx="0">
                  <c:v>#N/A</c:v>
                </c:pt>
              </c:numCache>
            </c:numRef>
          </c:val>
          <c:extLst>
            <c:ext xmlns:c16="http://schemas.microsoft.com/office/drawing/2014/chart" uri="{C3380CC4-5D6E-409C-BE32-E72D297353CC}">
              <c16:uniqueId val="{00000006-C5F6-46A1-8CD5-A9887F0DE25E}"/>
            </c:ext>
          </c:extLst>
        </c:ser>
        <c:ser>
          <c:idx val="6"/>
          <c:order val="6"/>
          <c:spPr>
            <a:solidFill>
              <a:schemeClr val="accent1">
                <a:lumMod val="60000"/>
              </a:schemeClr>
            </a:solidFill>
            <a:ln>
              <a:noFill/>
            </a:ln>
            <a:effectLst/>
          </c:spPr>
          <c:invertIfNegative val="0"/>
          <c:val>
            <c:numRef>
              <c:f>Backend!$AH$9</c:f>
              <c:numCache>
                <c:formatCode>General</c:formatCode>
                <c:ptCount val="1"/>
                <c:pt idx="0">
                  <c:v>#N/A</c:v>
                </c:pt>
              </c:numCache>
            </c:numRef>
          </c:val>
          <c:extLst>
            <c:ext xmlns:c16="http://schemas.microsoft.com/office/drawing/2014/chart" uri="{C3380CC4-5D6E-409C-BE32-E72D297353CC}">
              <c16:uniqueId val="{00000007-C5F6-46A1-8CD5-A9887F0DE25E}"/>
            </c:ext>
          </c:extLst>
        </c:ser>
        <c:ser>
          <c:idx val="7"/>
          <c:order val="7"/>
          <c:spPr>
            <a:solidFill>
              <a:schemeClr val="accent2">
                <a:lumMod val="60000"/>
              </a:schemeClr>
            </a:solidFill>
            <a:ln>
              <a:noFill/>
            </a:ln>
            <a:effectLst/>
          </c:spPr>
          <c:invertIfNegative val="0"/>
          <c:val>
            <c:numRef>
              <c:f>Backend!$AH$10</c:f>
              <c:numCache>
                <c:formatCode>General</c:formatCode>
                <c:ptCount val="1"/>
                <c:pt idx="0">
                  <c:v>#N/A</c:v>
                </c:pt>
              </c:numCache>
            </c:numRef>
          </c:val>
          <c:extLst>
            <c:ext xmlns:c16="http://schemas.microsoft.com/office/drawing/2014/chart" uri="{C3380CC4-5D6E-409C-BE32-E72D297353CC}">
              <c16:uniqueId val="{00000008-C5F6-46A1-8CD5-A9887F0DE25E}"/>
            </c:ext>
          </c:extLst>
        </c:ser>
        <c:ser>
          <c:idx val="8"/>
          <c:order val="8"/>
          <c:spPr>
            <a:solidFill>
              <a:schemeClr val="accent3">
                <a:lumMod val="60000"/>
              </a:schemeClr>
            </a:solidFill>
            <a:ln>
              <a:noFill/>
            </a:ln>
            <a:effectLst/>
          </c:spPr>
          <c:invertIfNegative val="0"/>
          <c:val>
            <c:numRef>
              <c:f>Backend!$AH$11</c:f>
              <c:numCache>
                <c:formatCode>General</c:formatCode>
                <c:ptCount val="1"/>
                <c:pt idx="0">
                  <c:v>#N/A</c:v>
                </c:pt>
              </c:numCache>
            </c:numRef>
          </c:val>
          <c:extLst>
            <c:ext xmlns:c16="http://schemas.microsoft.com/office/drawing/2014/chart" uri="{C3380CC4-5D6E-409C-BE32-E72D297353CC}">
              <c16:uniqueId val="{00000009-C5F6-46A1-8CD5-A9887F0DE25E}"/>
            </c:ext>
          </c:extLst>
        </c:ser>
        <c:ser>
          <c:idx val="9"/>
          <c:order val="9"/>
          <c:spPr>
            <a:solidFill>
              <a:schemeClr val="accent4">
                <a:lumMod val="60000"/>
              </a:schemeClr>
            </a:solidFill>
            <a:ln>
              <a:noFill/>
            </a:ln>
            <a:effectLst/>
          </c:spPr>
          <c:invertIfNegative val="0"/>
          <c:val>
            <c:numRef>
              <c:f>Backend!$AH$12</c:f>
              <c:numCache>
                <c:formatCode>General</c:formatCode>
                <c:ptCount val="1"/>
                <c:pt idx="0">
                  <c:v>#N/A</c:v>
                </c:pt>
              </c:numCache>
            </c:numRef>
          </c:val>
          <c:extLst>
            <c:ext xmlns:c16="http://schemas.microsoft.com/office/drawing/2014/chart" uri="{C3380CC4-5D6E-409C-BE32-E72D297353CC}">
              <c16:uniqueId val="{0000000A-C5F6-46A1-8CD5-A9887F0DE25E}"/>
            </c:ext>
          </c:extLst>
        </c:ser>
        <c:ser>
          <c:idx val="10"/>
          <c:order val="10"/>
          <c:spPr>
            <a:solidFill>
              <a:schemeClr val="accent5">
                <a:lumMod val="60000"/>
              </a:schemeClr>
            </a:solidFill>
            <a:ln>
              <a:noFill/>
            </a:ln>
            <a:effectLst/>
          </c:spPr>
          <c:invertIfNegative val="0"/>
          <c:val>
            <c:numRef>
              <c:f>Backend!$AH$13</c:f>
              <c:numCache>
                <c:formatCode>General</c:formatCode>
                <c:ptCount val="1"/>
                <c:pt idx="0">
                  <c:v>#N/A</c:v>
                </c:pt>
              </c:numCache>
            </c:numRef>
          </c:val>
          <c:extLst>
            <c:ext xmlns:c16="http://schemas.microsoft.com/office/drawing/2014/chart" uri="{C3380CC4-5D6E-409C-BE32-E72D297353CC}">
              <c16:uniqueId val="{0000000B-C5F6-46A1-8CD5-A9887F0DE25E}"/>
            </c:ext>
          </c:extLst>
        </c:ser>
        <c:ser>
          <c:idx val="11"/>
          <c:order val="11"/>
          <c:spPr>
            <a:solidFill>
              <a:schemeClr val="accent6">
                <a:lumMod val="60000"/>
              </a:schemeClr>
            </a:solidFill>
            <a:ln>
              <a:noFill/>
            </a:ln>
            <a:effectLst/>
          </c:spPr>
          <c:invertIfNegative val="0"/>
          <c:val>
            <c:numRef>
              <c:f>Backend!$AH$14</c:f>
              <c:numCache>
                <c:formatCode>General</c:formatCode>
                <c:ptCount val="1"/>
                <c:pt idx="0">
                  <c:v>#N/A</c:v>
                </c:pt>
              </c:numCache>
            </c:numRef>
          </c:val>
          <c:extLst>
            <c:ext xmlns:c16="http://schemas.microsoft.com/office/drawing/2014/chart" uri="{C3380CC4-5D6E-409C-BE32-E72D297353CC}">
              <c16:uniqueId val="{0000000C-C5F6-46A1-8CD5-A9887F0DE25E}"/>
            </c:ext>
          </c:extLst>
        </c:ser>
        <c:ser>
          <c:idx val="12"/>
          <c:order val="12"/>
          <c:spPr>
            <a:solidFill>
              <a:schemeClr val="accent1">
                <a:lumMod val="80000"/>
                <a:lumOff val="20000"/>
              </a:schemeClr>
            </a:solidFill>
            <a:ln>
              <a:noFill/>
            </a:ln>
            <a:effectLst/>
          </c:spPr>
          <c:invertIfNegative val="0"/>
          <c:val>
            <c:numRef>
              <c:f>Backend!$AH$15</c:f>
              <c:numCache>
                <c:formatCode>General</c:formatCode>
                <c:ptCount val="1"/>
                <c:pt idx="0">
                  <c:v>#N/A</c:v>
                </c:pt>
              </c:numCache>
            </c:numRef>
          </c:val>
          <c:extLst>
            <c:ext xmlns:c16="http://schemas.microsoft.com/office/drawing/2014/chart" uri="{C3380CC4-5D6E-409C-BE32-E72D297353CC}">
              <c16:uniqueId val="{0000000D-C5F6-46A1-8CD5-A9887F0DE25E}"/>
            </c:ext>
          </c:extLst>
        </c:ser>
        <c:dLbls>
          <c:showLegendKey val="0"/>
          <c:showVal val="0"/>
          <c:showCatName val="0"/>
          <c:showSerName val="0"/>
          <c:showPercent val="0"/>
          <c:showBubbleSize val="0"/>
        </c:dLbls>
        <c:gapWidth val="0"/>
        <c:overlap val="100"/>
        <c:axId val="208355056"/>
        <c:axId val="208375856"/>
      </c:barChart>
      <c:catAx>
        <c:axId val="208355056"/>
        <c:scaling>
          <c:orientation val="minMax"/>
        </c:scaling>
        <c:delete val="1"/>
        <c:axPos val="b"/>
        <c:majorTickMark val="none"/>
        <c:minorTickMark val="none"/>
        <c:tickLblPos val="nextTo"/>
        <c:crossAx val="208375856"/>
        <c:crosses val="autoZero"/>
        <c:auto val="1"/>
        <c:lblAlgn val="ctr"/>
        <c:lblOffset val="100"/>
        <c:noMultiLvlLbl val="0"/>
      </c:catAx>
      <c:valAx>
        <c:axId val="208375856"/>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208355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spPr>
            <a:solidFill>
              <a:schemeClr val="accent1"/>
            </a:solidFill>
            <a:ln>
              <a:noFill/>
            </a:ln>
            <a:effectLst/>
          </c:spPr>
          <c:invertIfNegative val="0"/>
          <c:val>
            <c:numRef>
              <c:f>Backend!$AB$20</c:f>
              <c:numCache>
                <c:formatCode>General</c:formatCode>
                <c:ptCount val="1"/>
                <c:pt idx="0">
                  <c:v>70</c:v>
                </c:pt>
              </c:numCache>
            </c:numRef>
          </c:val>
          <c:extLst>
            <c:ext xmlns:c16="http://schemas.microsoft.com/office/drawing/2014/chart" uri="{C3380CC4-5D6E-409C-BE32-E72D297353CC}">
              <c16:uniqueId val="{00000000-95D7-40AB-86CC-A4A0253A785F}"/>
            </c:ext>
          </c:extLst>
        </c:ser>
        <c:ser>
          <c:idx val="1"/>
          <c:order val="1"/>
          <c:spPr>
            <a:noFill/>
            <a:ln>
              <a:noFill/>
            </a:ln>
            <a:effectLst/>
          </c:spPr>
          <c:invertIfNegative val="0"/>
          <c:val>
            <c:numRef>
              <c:f>Backend!$AB$21</c:f>
              <c:numCache>
                <c:formatCode>General</c:formatCode>
                <c:ptCount val="1"/>
                <c:pt idx="0">
                  <c:v>30</c:v>
                </c:pt>
              </c:numCache>
            </c:numRef>
          </c:val>
          <c:extLst>
            <c:ext xmlns:c16="http://schemas.microsoft.com/office/drawing/2014/chart" uri="{C3380CC4-5D6E-409C-BE32-E72D297353CC}">
              <c16:uniqueId val="{00000002-95D7-40AB-86CC-A4A0253A785F}"/>
            </c:ext>
          </c:extLst>
        </c:ser>
        <c:dLbls>
          <c:showLegendKey val="0"/>
          <c:showVal val="0"/>
          <c:showCatName val="0"/>
          <c:showSerName val="0"/>
          <c:showPercent val="0"/>
          <c:showBubbleSize val="0"/>
        </c:dLbls>
        <c:gapWidth val="150"/>
        <c:overlap val="100"/>
        <c:axId val="772626255"/>
        <c:axId val="772642479"/>
      </c:barChart>
      <c:catAx>
        <c:axId val="77262625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642479"/>
        <c:crosses val="autoZero"/>
        <c:auto val="1"/>
        <c:lblAlgn val="ctr"/>
        <c:lblOffset val="100"/>
        <c:noMultiLvlLbl val="0"/>
      </c:catAx>
      <c:valAx>
        <c:axId val="7726424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626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5.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22</xdr:col>
      <xdr:colOff>43962</xdr:colOff>
      <xdr:row>6</xdr:row>
      <xdr:rowOff>58616</xdr:rowOff>
    </xdr:from>
    <xdr:to>
      <xdr:col>28</xdr:col>
      <xdr:colOff>143315</xdr:colOff>
      <xdr:row>10</xdr:row>
      <xdr:rowOff>20657</xdr:rowOff>
    </xdr:to>
    <xdr:graphicFrame macro="">
      <xdr:nvGraphicFramePr>
        <xdr:cNvPr id="2" name="Chart 1">
          <a:extLst>
            <a:ext uri="{FF2B5EF4-FFF2-40B4-BE49-F238E27FC236}">
              <a16:creationId xmlns:a16="http://schemas.microsoft.com/office/drawing/2014/main" id="{CC138F07-76F6-4043-A74C-4448679F76E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36632</xdr:colOff>
      <xdr:row>7</xdr:row>
      <xdr:rowOff>80595</xdr:rowOff>
    </xdr:from>
    <xdr:to>
      <xdr:col>33</xdr:col>
      <xdr:colOff>278423</xdr:colOff>
      <xdr:row>41</xdr:row>
      <xdr:rowOff>153865</xdr:rowOff>
    </xdr:to>
    <xdr:graphicFrame macro="">
      <xdr:nvGraphicFramePr>
        <xdr:cNvPr id="3" name="Chart 2">
          <a:extLst>
            <a:ext uri="{FF2B5EF4-FFF2-40B4-BE49-F238E27FC236}">
              <a16:creationId xmlns:a16="http://schemas.microsoft.com/office/drawing/2014/main" id="{B165A141-C9AF-4508-9DB7-09B3EE7A9D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95252</xdr:colOff>
      <xdr:row>6</xdr:row>
      <xdr:rowOff>51291</xdr:rowOff>
    </xdr:from>
    <xdr:to>
      <xdr:col>22</xdr:col>
      <xdr:colOff>138235</xdr:colOff>
      <xdr:row>34</xdr:row>
      <xdr:rowOff>46308</xdr:rowOff>
    </xdr:to>
    <xdr:graphicFrame macro="">
      <xdr:nvGraphicFramePr>
        <xdr:cNvPr id="8" name="Chart 7">
          <a:extLst>
            <a:ext uri="{FF2B5EF4-FFF2-40B4-BE49-F238E27FC236}">
              <a16:creationId xmlns:a16="http://schemas.microsoft.com/office/drawing/2014/main" id="{0FB351CA-2C29-4C15-B296-8368E0F5BD84}"/>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53731</xdr:colOff>
      <xdr:row>8</xdr:row>
      <xdr:rowOff>117231</xdr:rowOff>
    </xdr:from>
    <xdr:to>
      <xdr:col>19</xdr:col>
      <xdr:colOff>560755</xdr:colOff>
      <xdr:row>25</xdr:row>
      <xdr:rowOff>586</xdr:rowOff>
    </xdr:to>
    <xdr:graphicFrame macro="">
      <xdr:nvGraphicFramePr>
        <xdr:cNvPr id="10" name="Chart 9">
          <a:extLst>
            <a:ext uri="{FF2B5EF4-FFF2-40B4-BE49-F238E27FC236}">
              <a16:creationId xmlns:a16="http://schemas.microsoft.com/office/drawing/2014/main" id="{933BDA6D-BA3E-43E5-9596-5719B33C6B0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175845</xdr:colOff>
      <xdr:row>9</xdr:row>
      <xdr:rowOff>189035</xdr:rowOff>
    </xdr:from>
    <xdr:to>
      <xdr:col>13</xdr:col>
      <xdr:colOff>21393</xdr:colOff>
      <xdr:row>40</xdr:row>
      <xdr:rowOff>4924</xdr:rowOff>
    </xdr:to>
    <xdr:graphicFrame macro="">
      <xdr:nvGraphicFramePr>
        <xdr:cNvPr id="21" name="Map">
          <a:extLst>
            <a:ext uri="{FF2B5EF4-FFF2-40B4-BE49-F238E27FC236}">
              <a16:creationId xmlns:a16="http://schemas.microsoft.com/office/drawing/2014/main" id="{2A689E77-A975-4F16-98C3-48DCC76E24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80605</xdr:colOff>
      <xdr:row>6</xdr:row>
      <xdr:rowOff>227143</xdr:rowOff>
    </xdr:from>
    <xdr:to>
      <xdr:col>3</xdr:col>
      <xdr:colOff>246431</xdr:colOff>
      <xdr:row>7</xdr:row>
      <xdr:rowOff>234091</xdr:rowOff>
    </xdr:to>
    <xdr:pic>
      <xdr:nvPicPr>
        <xdr:cNvPr id="5" name="Picture 4">
          <a:extLst>
            <a:ext uri="{FF2B5EF4-FFF2-40B4-BE49-F238E27FC236}">
              <a16:creationId xmlns:a16="http://schemas.microsoft.com/office/drawing/2014/main" id="{325AF9FB-F9C0-4E04-B9A7-E41DA1E77E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49528" y="849931"/>
          <a:ext cx="165826" cy="248738"/>
        </a:xfrm>
        <a:prstGeom prst="rect">
          <a:avLst/>
        </a:prstGeom>
      </xdr:spPr>
    </xdr:pic>
    <xdr:clientData/>
  </xdr:twoCellAnchor>
  <xdr:twoCellAnchor>
    <xdr:from>
      <xdr:col>5</xdr:col>
      <xdr:colOff>542191</xdr:colOff>
      <xdr:row>25</xdr:row>
      <xdr:rowOff>21980</xdr:rowOff>
    </xdr:from>
    <xdr:to>
      <xdr:col>6</xdr:col>
      <xdr:colOff>300404</xdr:colOff>
      <xdr:row>29</xdr:row>
      <xdr:rowOff>36634</xdr:rowOff>
    </xdr:to>
    <xdr:sp macro="[0]!SetLocation" textlink="">
      <xdr:nvSpPr>
        <xdr:cNvPr id="29" name="LocSel_09">
          <a:extLst>
            <a:ext uri="{FF2B5EF4-FFF2-40B4-BE49-F238E27FC236}">
              <a16:creationId xmlns:a16="http://schemas.microsoft.com/office/drawing/2014/main" id="{CBFE2259-8C94-4CEB-BECB-28C4DE5B56C4}"/>
            </a:ext>
          </a:extLst>
        </xdr:cNvPr>
        <xdr:cNvSpPr/>
      </xdr:nvSpPr>
      <xdr:spPr>
        <a:xfrm>
          <a:off x="1868364" y="3165230"/>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153865</xdr:colOff>
      <xdr:row>13</xdr:row>
      <xdr:rowOff>65943</xdr:rowOff>
    </xdr:from>
    <xdr:to>
      <xdr:col>5</xdr:col>
      <xdr:colOff>483578</xdr:colOff>
      <xdr:row>15</xdr:row>
      <xdr:rowOff>131885</xdr:rowOff>
    </xdr:to>
    <xdr:sp macro="[0]!SetLocation" textlink="">
      <xdr:nvSpPr>
        <xdr:cNvPr id="30" name="LocSel_04">
          <a:extLst>
            <a:ext uri="{FF2B5EF4-FFF2-40B4-BE49-F238E27FC236}">
              <a16:creationId xmlns:a16="http://schemas.microsoft.com/office/drawing/2014/main" id="{3CEC126F-B832-4005-8319-0FB1BF93F05F}"/>
            </a:ext>
          </a:extLst>
        </xdr:cNvPr>
        <xdr:cNvSpPr/>
      </xdr:nvSpPr>
      <xdr:spPr>
        <a:xfrm>
          <a:off x="1480038" y="2036885"/>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379534</xdr:colOff>
      <xdr:row>13</xdr:row>
      <xdr:rowOff>49824</xdr:rowOff>
    </xdr:from>
    <xdr:to>
      <xdr:col>5</xdr:col>
      <xdr:colOff>137747</xdr:colOff>
      <xdr:row>15</xdr:row>
      <xdr:rowOff>115766</xdr:rowOff>
    </xdr:to>
    <xdr:sp macro="[0]!SetLocation" textlink="">
      <xdr:nvSpPr>
        <xdr:cNvPr id="31" name="LocSel_03">
          <a:extLst>
            <a:ext uri="{FF2B5EF4-FFF2-40B4-BE49-F238E27FC236}">
              <a16:creationId xmlns:a16="http://schemas.microsoft.com/office/drawing/2014/main" id="{91AD224C-9123-49D0-912C-B1D61366921F}"/>
            </a:ext>
          </a:extLst>
        </xdr:cNvPr>
        <xdr:cNvSpPr/>
      </xdr:nvSpPr>
      <xdr:spPr>
        <a:xfrm>
          <a:off x="1134207" y="2020766"/>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275491</xdr:colOff>
      <xdr:row>12</xdr:row>
      <xdr:rowOff>209550</xdr:rowOff>
    </xdr:from>
    <xdr:to>
      <xdr:col>4</xdr:col>
      <xdr:colOff>319454</xdr:colOff>
      <xdr:row>15</xdr:row>
      <xdr:rowOff>33704</xdr:rowOff>
    </xdr:to>
    <xdr:sp macro="[0]!SetLocation" textlink="">
      <xdr:nvSpPr>
        <xdr:cNvPr id="32" name="LocSel_02">
          <a:extLst>
            <a:ext uri="{FF2B5EF4-FFF2-40B4-BE49-F238E27FC236}">
              <a16:creationId xmlns:a16="http://schemas.microsoft.com/office/drawing/2014/main" id="{60C31D05-7ABC-4080-A638-832AA0BD9E4F}"/>
            </a:ext>
          </a:extLst>
        </xdr:cNvPr>
        <xdr:cNvSpPr/>
      </xdr:nvSpPr>
      <xdr:spPr>
        <a:xfrm>
          <a:off x="744414" y="1938704"/>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552448</xdr:colOff>
      <xdr:row>11</xdr:row>
      <xdr:rowOff>178777</xdr:rowOff>
    </xdr:from>
    <xdr:to>
      <xdr:col>7</xdr:col>
      <xdr:colOff>310661</xdr:colOff>
      <xdr:row>13</xdr:row>
      <xdr:rowOff>54220</xdr:rowOff>
    </xdr:to>
    <xdr:sp macro="[0]!SetLocation" textlink="">
      <xdr:nvSpPr>
        <xdr:cNvPr id="33" name="LocSel_08">
          <a:extLst>
            <a:ext uri="{FF2B5EF4-FFF2-40B4-BE49-F238E27FC236}">
              <a16:creationId xmlns:a16="http://schemas.microsoft.com/office/drawing/2014/main" id="{FDAA8850-E488-4263-89E6-71239F10EA47}"/>
            </a:ext>
          </a:extLst>
        </xdr:cNvPr>
        <xdr:cNvSpPr/>
      </xdr:nvSpPr>
      <xdr:spPr>
        <a:xfrm>
          <a:off x="2450121" y="1717431"/>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23444</xdr:colOff>
      <xdr:row>13</xdr:row>
      <xdr:rowOff>60081</xdr:rowOff>
    </xdr:from>
    <xdr:to>
      <xdr:col>7</xdr:col>
      <xdr:colOff>353157</xdr:colOff>
      <xdr:row>15</xdr:row>
      <xdr:rowOff>126023</xdr:rowOff>
    </xdr:to>
    <xdr:sp macro="[0]!SetLocation" textlink="">
      <xdr:nvSpPr>
        <xdr:cNvPr id="34" name="LocSel_05">
          <a:extLst>
            <a:ext uri="{FF2B5EF4-FFF2-40B4-BE49-F238E27FC236}">
              <a16:creationId xmlns:a16="http://schemas.microsoft.com/office/drawing/2014/main" id="{E246A9A8-BC92-48EB-9E89-4B31AA18527F}"/>
            </a:ext>
          </a:extLst>
        </xdr:cNvPr>
        <xdr:cNvSpPr/>
      </xdr:nvSpPr>
      <xdr:spPr>
        <a:xfrm>
          <a:off x="2492617" y="2031023"/>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359017</xdr:colOff>
      <xdr:row>12</xdr:row>
      <xdr:rowOff>168519</xdr:rowOff>
    </xdr:from>
    <xdr:to>
      <xdr:col>8</xdr:col>
      <xdr:colOff>117230</xdr:colOff>
      <xdr:row>14</xdr:row>
      <xdr:rowOff>43962</xdr:rowOff>
    </xdr:to>
    <xdr:sp macro="[0]!SetLocation" textlink="">
      <xdr:nvSpPr>
        <xdr:cNvPr id="35" name="LocSel_07">
          <a:extLst>
            <a:ext uri="{FF2B5EF4-FFF2-40B4-BE49-F238E27FC236}">
              <a16:creationId xmlns:a16="http://schemas.microsoft.com/office/drawing/2014/main" id="{BC63CBFD-A11E-4723-834C-C02A34FE2BCF}"/>
            </a:ext>
          </a:extLst>
        </xdr:cNvPr>
        <xdr:cNvSpPr/>
      </xdr:nvSpPr>
      <xdr:spPr>
        <a:xfrm>
          <a:off x="2828190" y="1897673"/>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342898</xdr:colOff>
      <xdr:row>15</xdr:row>
      <xdr:rowOff>49823</xdr:rowOff>
    </xdr:from>
    <xdr:to>
      <xdr:col>10</xdr:col>
      <xdr:colOff>101111</xdr:colOff>
      <xdr:row>17</xdr:row>
      <xdr:rowOff>115766</xdr:rowOff>
    </xdr:to>
    <xdr:sp macro="[0]!SetLocation" textlink="">
      <xdr:nvSpPr>
        <xdr:cNvPr id="36" name="LocSel_11">
          <a:extLst>
            <a:ext uri="{FF2B5EF4-FFF2-40B4-BE49-F238E27FC236}">
              <a16:creationId xmlns:a16="http://schemas.microsoft.com/office/drawing/2014/main" id="{F4284F63-6920-4331-AE95-F2D3018B2C6C}"/>
            </a:ext>
          </a:extLst>
        </xdr:cNvPr>
        <xdr:cNvSpPr/>
      </xdr:nvSpPr>
      <xdr:spPr>
        <a:xfrm>
          <a:off x="3955071" y="2262554"/>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106971</xdr:colOff>
      <xdr:row>13</xdr:row>
      <xdr:rowOff>158262</xdr:rowOff>
    </xdr:from>
    <xdr:to>
      <xdr:col>11</xdr:col>
      <xdr:colOff>436684</xdr:colOff>
      <xdr:row>16</xdr:row>
      <xdr:rowOff>33704</xdr:rowOff>
    </xdr:to>
    <xdr:sp macro="[0]!SetLocation" textlink="">
      <xdr:nvSpPr>
        <xdr:cNvPr id="37" name="LocSel_06">
          <a:extLst>
            <a:ext uri="{FF2B5EF4-FFF2-40B4-BE49-F238E27FC236}">
              <a16:creationId xmlns:a16="http://schemas.microsoft.com/office/drawing/2014/main" id="{58CA6743-4498-455B-A271-E321DE96EE75}"/>
            </a:ext>
          </a:extLst>
        </xdr:cNvPr>
        <xdr:cNvSpPr/>
      </xdr:nvSpPr>
      <xdr:spPr>
        <a:xfrm>
          <a:off x="4532433" y="2129204"/>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186102</xdr:colOff>
      <xdr:row>31</xdr:row>
      <xdr:rowOff>10258</xdr:rowOff>
    </xdr:from>
    <xdr:to>
      <xdr:col>13</xdr:col>
      <xdr:colOff>39565</xdr:colOff>
      <xdr:row>34</xdr:row>
      <xdr:rowOff>120162</xdr:rowOff>
    </xdr:to>
    <xdr:sp macro="[0]!SetLocation" textlink="">
      <xdr:nvSpPr>
        <xdr:cNvPr id="38" name="LocSel_12">
          <a:extLst>
            <a:ext uri="{FF2B5EF4-FFF2-40B4-BE49-F238E27FC236}">
              <a16:creationId xmlns:a16="http://schemas.microsoft.com/office/drawing/2014/main" id="{65F6711B-9BC3-4C1A-874B-1F0600649928}"/>
            </a:ext>
          </a:extLst>
        </xdr:cNvPr>
        <xdr:cNvSpPr/>
      </xdr:nvSpPr>
      <xdr:spPr>
        <a:xfrm>
          <a:off x="5087814" y="3549162"/>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235925</xdr:colOff>
      <xdr:row>31</xdr:row>
      <xdr:rowOff>16120</xdr:rowOff>
    </xdr:from>
    <xdr:to>
      <xdr:col>5</xdr:col>
      <xdr:colOff>565638</xdr:colOff>
      <xdr:row>34</xdr:row>
      <xdr:rowOff>126024</xdr:rowOff>
    </xdr:to>
    <xdr:sp macro="[0]!SetLocation" textlink="">
      <xdr:nvSpPr>
        <xdr:cNvPr id="39" name="LocSel_10">
          <a:extLst>
            <a:ext uri="{FF2B5EF4-FFF2-40B4-BE49-F238E27FC236}">
              <a16:creationId xmlns:a16="http://schemas.microsoft.com/office/drawing/2014/main" id="{DE1E01DA-B5A6-4A0D-84DF-5E070026C6B5}"/>
            </a:ext>
          </a:extLst>
        </xdr:cNvPr>
        <xdr:cNvSpPr/>
      </xdr:nvSpPr>
      <xdr:spPr>
        <a:xfrm>
          <a:off x="1562098" y="3555024"/>
          <a:ext cx="329713" cy="307731"/>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45</xdr:row>
      <xdr:rowOff>1</xdr:rowOff>
    </xdr:from>
    <xdr:to>
      <xdr:col>11</xdr:col>
      <xdr:colOff>0</xdr:colOff>
      <xdr:row>46</xdr:row>
      <xdr:rowOff>1</xdr:rowOff>
    </xdr:to>
    <xdr:sp macro="[0]!RunWindSim" textlink="">
      <xdr:nvSpPr>
        <xdr:cNvPr id="40" name="WindSim">
          <a:extLst>
            <a:ext uri="{FF2B5EF4-FFF2-40B4-BE49-F238E27FC236}">
              <a16:creationId xmlns:a16="http://schemas.microsoft.com/office/drawing/2014/main" id="{A36EB83E-6DDD-4A5C-9A30-6CA01645FDF1}"/>
            </a:ext>
          </a:extLst>
        </xdr:cNvPr>
        <xdr:cNvSpPr/>
      </xdr:nvSpPr>
      <xdr:spPr>
        <a:xfrm>
          <a:off x="4183674" y="4887059"/>
          <a:ext cx="241788" cy="190500"/>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28</xdr:col>
      <xdr:colOff>962025</xdr:colOff>
      <xdr:row>15</xdr:row>
      <xdr:rowOff>57150</xdr:rowOff>
    </xdr:from>
    <xdr:to>
      <xdr:col>35</xdr:col>
      <xdr:colOff>161925</xdr:colOff>
      <xdr:row>28</xdr:row>
      <xdr:rowOff>76200</xdr:rowOff>
    </xdr:to>
    <xdr:graphicFrame macro="">
      <xdr:nvGraphicFramePr>
        <xdr:cNvPr id="2" name="Chart 1">
          <a:extLst>
            <a:ext uri="{FF2B5EF4-FFF2-40B4-BE49-F238E27FC236}">
              <a16:creationId xmlns:a16="http://schemas.microsoft.com/office/drawing/2014/main" id="{0A387352-0C1F-4B5D-BE9F-3A37C7764E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238125</xdr:colOff>
      <xdr:row>15</xdr:row>
      <xdr:rowOff>200025</xdr:rowOff>
    </xdr:from>
    <xdr:to>
      <xdr:col>44</xdr:col>
      <xdr:colOff>180975</xdr:colOff>
      <xdr:row>29</xdr:row>
      <xdr:rowOff>9525</xdr:rowOff>
    </xdr:to>
    <xdr:graphicFrame macro="">
      <xdr:nvGraphicFramePr>
        <xdr:cNvPr id="3" name="Chart 2">
          <a:extLst>
            <a:ext uri="{FF2B5EF4-FFF2-40B4-BE49-F238E27FC236}">
              <a16:creationId xmlns:a16="http://schemas.microsoft.com/office/drawing/2014/main" id="{2C4CF270-1B0F-412A-AEEA-17AC72D5D1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9058C51-4441-4D7C-8E31-2E1A14B6C0FF}" name="TT" displayName="TT" ref="B2:O62" totalsRowShown="0">
  <autoFilter ref="B2:O62" xr:uid="{7C1A9C66-8F62-4093-B1C8-E3733383DD3E}"/>
  <tableColumns count="14">
    <tableColumn id="1" xr3:uid="{6FBC59A7-1C3A-4460-AFBD-C0FF8CC8C046}" name="Row">
      <calculatedColumnFormula>ROW()</calculatedColumnFormula>
    </tableColumn>
    <tableColumn id="3" xr3:uid="{475BA366-7FAB-49F5-ACC8-2F72F0A7C74D}" name="Tab"/>
    <tableColumn id="4" xr3:uid="{3DDBB4BA-20AE-4D80-B208-F0DBBDC7762F}" name="Location" dataDxfId="20">
      <calculatedColumnFormula>"WindSpeed-"&amp;TT[[#This Row],[Tab]]</calculatedColumnFormula>
    </tableColumn>
    <tableColumn id="5" xr3:uid="{0CD1A6A4-849F-414D-8921-B448AEC4C420}" name="Language 1"/>
    <tableColumn id="8" xr3:uid="{C0B9A702-B296-4999-94B3-E2D82340B3BB}" name="Language 2"/>
    <tableColumn id="6" xr3:uid="{C9130481-C9AB-453A-A7D8-9DD605382233}" name="Language 3"/>
    <tableColumn id="7" xr3:uid="{C7895644-23A0-4382-B4CE-EDA74EAC9CF2}" name="Language 4"/>
    <tableColumn id="9" xr3:uid="{1D830929-B22F-49BF-AF0D-4D5A8E4F60CB}" name="Language 5"/>
    <tableColumn id="10" xr3:uid="{EEA57DE1-63A1-42C7-953F-D87C62C2FE0E}" name="Language 6"/>
    <tableColumn id="11" xr3:uid="{3D5609E2-5B3D-48D3-9A86-7231437E8E33}" name="Language 7"/>
    <tableColumn id="12" xr3:uid="{F9D2A36D-4985-4C8A-9996-557D1973227C}" name="Language 8"/>
    <tableColumn id="2" xr3:uid="{DC4AF0C0-11AF-4AB1-8B08-21FF94FFF8C6}" name="Language 9"/>
    <tableColumn id="13" xr3:uid="{A3D3CB66-A9F1-45F0-93F3-BF22A15335A2}" name="Language 10"/>
    <tableColumn id="14" xr3:uid="{C8598BFC-461E-4566-87AC-3534CA8E16B3}" name="Display" dataDxfId="19">
      <calculatedColumnFormula>INDEX(TT[[#This Row],[Language 1]:[Language 10]],1,LanguageSelect)</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238F6-7F33-41A0-AE39-940AFF493EFE}" name="Tbl_CityLookup" displayName="Tbl_CityLookup" ref="E2:N14" totalsRowShown="0">
  <autoFilter ref="E2:N14" xr:uid="{340ECB20-EAB6-42F3-868B-331FF09A6305}"/>
  <tableColumns count="10">
    <tableColumn id="1" xr3:uid="{B1E48360-B28E-455E-AA22-D5BA51BC36C5}" name="City"/>
    <tableColumn id="2" xr3:uid="{90BE1684-0DA0-4818-A4BA-EAC6E21D43A1}" name="CityTranslated">
      <calculatedColumnFormula>TT!$O33</calculatedColumnFormula>
    </tableColumn>
    <tableColumn id="9" xr3:uid="{B62A00F6-825F-4A2E-ADE8-E0A693B36554}" name="X"/>
    <tableColumn id="10" xr3:uid="{193B7133-EAB1-4D23-A84A-A06952917CFD}" name="Y"/>
    <tableColumn id="3" xr3:uid="{0DCDB844-AF17-4D7A-BE95-D1239AF4D655}" name="CityNum" dataDxfId="17">
      <calculatedColumnFormula>ROW()-ROW(Tbl_CityLookup[#Headers])</calculatedColumnFormula>
    </tableColumn>
    <tableColumn id="4" xr3:uid="{9152D79B-495F-4CAA-B426-87B670B81829}" name="API City Name"/>
    <tableColumn id="8" xr3:uid="{0D85191C-F5C1-471C-9094-32CD8D0B959D}" name="Type"/>
    <tableColumn id="5" xr3:uid="{A31515BD-4726-4C99-9094-584ED907D98D}" name="Timestamp"/>
    <tableColumn id="6" xr3:uid="{6B17DB5F-F5D1-4B1E-BADB-0577D89E8810}" name="Temperature"/>
    <tableColumn id="7" xr3:uid="{201922D4-4D7D-4945-A215-670911689D70}" name="Wind Spee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B10C48-0FA8-473F-86C8-9B99C13D4CCA}" name="Tbl_QueryParsing" displayName="Tbl_QueryParsing" ref="P2:AA10" totalsRowShown="0">
  <autoFilter ref="P2:AA10" xr:uid="{7F959651-4726-413E-A7A4-BD71B6EAC513}"/>
  <tableColumns count="12">
    <tableColumn id="4" xr3:uid="{A567E9E3-EE55-4991-A9A1-10D4DE887A6A}" name="Row" dataDxfId="16">
      <calculatedColumnFormula>ROW()-ROW(Tbl_QueryParsing[#Headers])</calculatedColumnFormula>
    </tableColumn>
    <tableColumn id="10" xr3:uid="{0B0371EA-1DB6-4B7E-95AC-CC82BE5B5CA8}" name="Type" dataDxfId="15"/>
    <tableColumn id="1" xr3:uid="{BADDBADA-AA08-4BDB-B0FF-08F3BEA60DFC}" name="Text"/>
    <tableColumn id="11" xr3:uid="{676F01B4-BD41-4844-863C-9BDBE7D6384C}" name="ValOffset"/>
    <tableColumn id="12" xr3:uid="{97C5B017-E55C-4936-88D0-D86117742BD7}" name="ValEndChar"/>
    <tableColumn id="13" xr3:uid="{D4CFAE7F-1D8E-4D27-A536-E36AC36D970B}" name="EndCharLoc" dataDxfId="14">
      <calculatedColumnFormula>IF(Tbl_QueryParsing[[#This Row],[ValEndChar]]="",0,SEARCH(Tbl_QueryParsing[[#This Row],[ValEndChar]],QueryResult,Tbl_QueryParsing[[#This Row],[SearchStart]]))</calculatedColumnFormula>
    </tableColumn>
    <tableColumn id="3" xr3:uid="{D0C54F08-CD6C-47E3-9637-A2865DC7D195}" name="Precedent" dataDxfId="13">
      <calculatedColumnFormula>ROW()-ROW(Tbl_QueryParsing[#Headers])-1</calculatedColumnFormula>
    </tableColumn>
    <tableColumn id="2" xr3:uid="{24C74795-A46E-49C1-8B08-B0CDD9589181}" name="SearchStart" dataDxfId="12">
      <calculatedColumnFormula>IFERROR(INDEX(Tbl_QueryParsing[End],MATCH(Tbl_QueryParsing[[#This Row],[Precedent]],Tbl_QueryParsing[Row],0)),1)+Tbl_QueryParsing[[#This Row],[ValOffset]]</calculatedColumnFormula>
    </tableColumn>
    <tableColumn id="7" xr3:uid="{A7A92FBE-D5AD-42EA-8D7F-57D7084AB51D}" name="Loc" dataDxfId="11">
      <calculatedColumnFormula>IF(Tbl_QueryParsing[[#This Row],[Type]]="Text",SEARCH(Tbl_QueryParsing[[#This Row],[Text]],QueryResult,Tbl_QueryParsing[[#This Row],[SearchStart]]),Tbl_QueryParsing[[#This Row],[SearchStart]])</calculatedColumnFormula>
    </tableColumn>
    <tableColumn id="5" xr3:uid="{A27E5FC1-659E-4B50-9E6C-67578E6785F4}" name="Len" dataDxfId="10">
      <calculatedColumnFormula>IF(Tbl_QueryParsing[[#This Row],[Type]]="Text",LEN(Tbl_QueryParsing[[#This Row],[Text]]),Tbl_QueryParsing[[#This Row],[EndCharLoc]]-Tbl_QueryParsing[[#This Row],[SearchStart]])</calculatedColumnFormula>
    </tableColumn>
    <tableColumn id="8" xr3:uid="{76D43F79-69D9-4357-B4F7-4B2BC352EF95}" name="End" dataDxfId="9">
      <calculatedColumnFormula>Tbl_QueryParsing[[#This Row],[Loc]]+Tbl_QueryParsing[[#This Row],[Len]]</calculatedColumnFormula>
    </tableColumn>
    <tableColumn id="14" xr3:uid="{3B4E1273-65E3-4C6B-955B-B1AB20C7D771}" name="Value" dataDxfId="8">
      <calculatedColumnFormula>MID(QueryResult,Tbl_QueryParsing[[#This Row],[Loc]],Tbl_QueryParsing[[#This Row],[Len]])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BE4341A-4C88-4955-9B8F-CBE5A32BC44B}" name="Tbl_Beaufort" displayName="Tbl_Beaufort" ref="AC2:AI15" totalsRowShown="0">
  <autoFilter ref="AC2:AI15" xr:uid="{F79A22C5-A2CE-467C-A031-FE240863AB9E}"/>
  <tableColumns count="7">
    <tableColumn id="1" xr3:uid="{90CA7430-1447-430F-BDB7-B98243AFC030}" name="Beaufort num" dataDxfId="7">
      <calculatedColumnFormula>ROW()-ROW(Tbl_Beaufort[#Headers])-1</calculatedColumnFormula>
    </tableColumn>
    <tableColumn id="2" xr3:uid="{1DB543A5-87F8-4450-AB38-B70F29667570}" name="Description">
      <calculatedColumnFormula>TT!$O15</calculatedColumnFormula>
    </tableColumn>
    <tableColumn id="7" xr3:uid="{628C05FA-D751-42AC-A736-6BDBBD1E1125}" name="Text">
      <calculatedColumnFormula>TT!$O48</calculatedColumnFormula>
    </tableColumn>
    <tableColumn id="3" xr3:uid="{495416DF-9586-4330-B918-B64FE02EA94C}" name="Min"/>
    <tableColumn id="4" xr3:uid="{0C7E18FC-B213-4383-BBF2-5BAEA8A0CBF4}" name="Max"/>
    <tableColumn id="5" xr3:uid="{5DC54114-D09C-4470-B968-D025C6993E41}" name="Scale" dataDxfId="6">
      <calculatedColumnFormula>IF(Tbl_Beaufort[[#This Row],[Beaufort num]]=BeaufortVal,1,NA())</calculatedColumnFormula>
    </tableColumn>
    <tableColumn id="6" xr3:uid="{3C8A8ADB-43C7-49F5-BFCA-237370158D0F}" name="Val" dataDxfId="5">
      <calculatedColumnFormula>IF(AND(Tbl_Beaufort[[#This Row],[Min]]&lt;=Wind_KPH,Tbl_Beaufort[[#This Row],[Max]]&gt;Wind_KPH),1,NA())</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01B3A-DB32-4AA3-9437-D17B4BF8F91B}" name="Tbl_GaugeLables" displayName="Tbl_GaugeLables" ref="AK2:AP15" totalsRowShown="0">
  <autoFilter ref="AK2:AP15" xr:uid="{92DDBFB8-B156-47A8-AC50-1EB973FAE953}"/>
  <tableColumns count="6">
    <tableColumn id="1" xr3:uid="{8DEA5C85-1ED1-4452-9A46-A0C832003BF5}" name="Row"/>
    <tableColumn id="2" xr3:uid="{2A3D8E45-4B0B-47C2-AD57-DC2932B2424C}" name="Val" dataDxfId="4">
      <calculatedColumnFormula>Tbl_GaugeLables[[#This Row],[Row]]*10</calculatedColumnFormula>
    </tableColumn>
    <tableColumn id="3" xr3:uid="{83ACC95E-B751-44EB-AB62-B7A20FB93A37}" name="Angle" dataDxfId="3">
      <calculatedColumnFormula>MOD(210+360-Tbl_GaugeLables[[#This Row],[Val]]*2,360)</calculatedColumnFormula>
    </tableColumn>
    <tableColumn id="6" xr3:uid="{C47C3805-1C87-4CFF-BF67-C284233F7D16}" name="Radians" dataDxfId="2">
      <calculatedColumnFormula>RADIANS(Tbl_GaugeLables[[#This Row],[Angle]])</calculatedColumnFormula>
    </tableColumn>
    <tableColumn id="4" xr3:uid="{098557B5-90BD-43D2-B9FA-EC3139226216}" name="X" dataDxfId="1">
      <calculatedColumnFormula>COS(Tbl_GaugeLables[[#This Row],[Radians]])</calculatedColumnFormula>
    </tableColumn>
    <tableColumn id="5" xr3:uid="{9FE23F61-4511-4DB4-AB1B-0DD098B0B69E}" name="Y" dataDxfId="0">
      <calculatedColumnFormula>SIN(Tbl_GaugeLables[[#This Row],[Radians]])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HackingSTEM">
      <a:dk1>
        <a:srgbClr val="2F2F2F"/>
      </a:dk1>
      <a:lt1>
        <a:srgbClr val="FFFFFF"/>
      </a:lt1>
      <a:dk2>
        <a:srgbClr val="747474"/>
      </a:dk2>
      <a:lt2>
        <a:srgbClr val="F2F2F2"/>
      </a:lt2>
      <a:accent1>
        <a:srgbClr val="0078D4"/>
      </a:accent1>
      <a:accent2>
        <a:srgbClr val="009245"/>
      </a:accent2>
      <a:accent3>
        <a:srgbClr val="AA0000"/>
      </a:accent3>
      <a:accent4>
        <a:srgbClr val="EC008C"/>
      </a:accent4>
      <a:accent5>
        <a:srgbClr val="D83B01"/>
      </a:accent5>
      <a:accent6>
        <a:srgbClr val="FFB900"/>
      </a:accent6>
      <a:hlink>
        <a:srgbClr val="0078D4"/>
      </a:hlink>
      <a:folHlink>
        <a:srgbClr val="954F72"/>
      </a:folHlink>
    </a:clrScheme>
    <a:fontScheme name="Segoe UI">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FB9D3-B0B7-46B0-A98C-5ED13A13CE46}">
  <sheetPr codeName="Sheet7"/>
  <dimension ref="B2:S62"/>
  <sheetViews>
    <sheetView topLeftCell="A37" workbookViewId="0">
      <selection activeCell="E63" sqref="E63"/>
    </sheetView>
  </sheetViews>
  <sheetFormatPr defaultRowHeight="16.5"/>
  <cols>
    <col min="5" max="5" width="31.125" customWidth="1"/>
  </cols>
  <sheetData>
    <row r="2" spans="2:19">
      <c r="B2" t="s">
        <v>0</v>
      </c>
      <c r="C2" t="s">
        <v>1</v>
      </c>
      <c r="D2" t="s">
        <v>2</v>
      </c>
      <c r="E2" t="s">
        <v>3</v>
      </c>
      <c r="F2" t="s">
        <v>4</v>
      </c>
      <c r="G2" t="s">
        <v>5</v>
      </c>
      <c r="H2" t="s">
        <v>6</v>
      </c>
      <c r="I2" t="s">
        <v>7</v>
      </c>
      <c r="J2" t="s">
        <v>8</v>
      </c>
      <c r="K2" t="s">
        <v>9</v>
      </c>
      <c r="L2" t="s">
        <v>10</v>
      </c>
      <c r="M2" t="s">
        <v>11</v>
      </c>
      <c r="N2" t="s">
        <v>12</v>
      </c>
      <c r="O2" t="s">
        <v>13</v>
      </c>
    </row>
    <row r="3" spans="2:19">
      <c r="B3">
        <f>ROW()</f>
        <v>3</v>
      </c>
      <c r="C3" t="s">
        <v>14</v>
      </c>
      <c r="D3" t="str">
        <f>"WindSpeed-"&amp;TT[[#This Row],[Tab]]</f>
        <v>WindSpeed-Instructions</v>
      </c>
      <c r="E3" t="s">
        <v>15</v>
      </c>
      <c r="F3" t="s">
        <v>16</v>
      </c>
      <c r="O3" t="str">
        <f>INDEX(TT[[#This Row],[Language 1]:[Language 10]],1,LanguageSelect)</f>
        <v>This workbook uses "Macros" (automated Excel commands) to assist in the data collection process</v>
      </c>
      <c r="R3" t="s">
        <v>17</v>
      </c>
      <c r="S3">
        <f>MATCH(LanguageSel,TT!$S$5:$S$14,0)</f>
        <v>1</v>
      </c>
    </row>
    <row r="4" spans="2:19">
      <c r="B4">
        <f>ROW()</f>
        <v>4</v>
      </c>
      <c r="C4" t="s">
        <v>14</v>
      </c>
      <c r="D4" t="str">
        <f>"WindSpeed-"&amp;TT[[#This Row],[Tab]]</f>
        <v>WindSpeed-Instructions</v>
      </c>
      <c r="E4" t="s">
        <v>18</v>
      </c>
      <c r="F4" t="s">
        <v>19</v>
      </c>
      <c r="O4" t="str">
        <f>INDEX(TT[[#This Row],[Language 1]:[Language 10]],1,LanguageSelect)</f>
        <v>To use these Macros and have buttons on the spreadsheets work, you must "Enable" the Macros</v>
      </c>
    </row>
    <row r="5" spans="2:19">
      <c r="B5">
        <f>ROW()</f>
        <v>5</v>
      </c>
      <c r="C5" t="s">
        <v>14</v>
      </c>
      <c r="D5" t="str">
        <f>"WindSpeed-"&amp;TT[[#This Row],[Tab]]</f>
        <v>WindSpeed-Instructions</v>
      </c>
      <c r="E5" t="s">
        <v>20</v>
      </c>
      <c r="F5" t="s">
        <v>21</v>
      </c>
      <c r="O5" t="str">
        <f>INDEX(TT[[#This Row],[Language 1]:[Language 10]],1,LanguageSelect)</f>
        <v>Click the "Enable Content" button that appears above when you first open this workbook</v>
      </c>
      <c r="R5">
        <v>1</v>
      </c>
      <c r="S5" t="s">
        <v>22</v>
      </c>
    </row>
    <row r="6" spans="2:19">
      <c r="B6">
        <f>ROW()</f>
        <v>6</v>
      </c>
      <c r="C6" t="s">
        <v>14</v>
      </c>
      <c r="D6" t="str">
        <f>"WindSpeed-"&amp;TT[[#This Row],[Tab]]</f>
        <v>WindSpeed-Instructions</v>
      </c>
      <c r="E6" t="s">
        <v>23</v>
      </c>
      <c r="F6" t="s">
        <v>24</v>
      </c>
      <c r="O6" t="str">
        <f>INDEX(TT[[#This Row],[Language 1]:[Language 10]],1,LanguageSelect)</f>
        <v>Once you have enabled macros, you can use the workbook.  If you do not see this message, macros are enabled</v>
      </c>
      <c r="R6">
        <v>2</v>
      </c>
      <c r="S6" t="s">
        <v>25</v>
      </c>
    </row>
    <row r="7" spans="2:19">
      <c r="B7">
        <f>ROW()</f>
        <v>7</v>
      </c>
      <c r="C7" t="s">
        <v>26</v>
      </c>
      <c r="D7" t="str">
        <f>"WindSpeed-"&amp;TT[[#This Row],[Tab]]</f>
        <v>WindSpeed-Dashboard</v>
      </c>
      <c r="E7" t="s">
        <v>27</v>
      </c>
      <c r="F7" t="s">
        <v>28</v>
      </c>
      <c r="O7" t="str">
        <f>INDEX(TT[[#This Row],[Language 1]:[Language 10]],1,LanguageSelect)</f>
        <v>Temperature</v>
      </c>
      <c r="R7">
        <v>3</v>
      </c>
      <c r="S7" t="s">
        <v>29</v>
      </c>
    </row>
    <row r="8" spans="2:19">
      <c r="B8">
        <f>ROW()</f>
        <v>8</v>
      </c>
      <c r="C8" t="s">
        <v>26</v>
      </c>
      <c r="D8" t="str">
        <f>"WindSpeed-"&amp;TT[[#This Row],[Tab]]</f>
        <v>WindSpeed-Dashboard</v>
      </c>
      <c r="E8" t="s">
        <v>30</v>
      </c>
      <c r="F8" t="s">
        <v>31</v>
      </c>
      <c r="O8" t="str">
        <f>INDEX(TT[[#This Row],[Language 1]:[Language 10]],1,LanguageSelect)</f>
        <v>Beaufort Number</v>
      </c>
      <c r="R8">
        <v>4</v>
      </c>
    </row>
    <row r="9" spans="2:19">
      <c r="B9">
        <f>ROW()</f>
        <v>9</v>
      </c>
      <c r="C9" t="s">
        <v>26</v>
      </c>
      <c r="D9" t="str">
        <f>"WindSpeed-"&amp;TT[[#This Row],[Tab]]</f>
        <v>WindSpeed-Dashboard</v>
      </c>
      <c r="E9" t="s">
        <v>32</v>
      </c>
      <c r="F9" t="s">
        <v>33</v>
      </c>
      <c r="O9" t="str">
        <f>INDEX(TT[[#This Row],[Language 1]:[Language 10]],1,LanguageSelect)</f>
        <v>Wind speed</v>
      </c>
      <c r="R9">
        <v>5</v>
      </c>
    </row>
    <row r="10" spans="2:19">
      <c r="B10">
        <f>ROW()</f>
        <v>10</v>
      </c>
      <c r="C10" t="s">
        <v>26</v>
      </c>
      <c r="D10" t="str">
        <f>"WindSpeed-"&amp;TT[[#This Row],[Tab]]</f>
        <v>WindSpeed-Dashboard</v>
      </c>
      <c r="E10" t="s">
        <v>34</v>
      </c>
      <c r="F10" t="s">
        <v>35</v>
      </c>
      <c r="O10" t="str">
        <f>INDEX(TT[[#This Row],[Language 1]:[Language 10]],1,LanguageSelect)</f>
        <v>Select a location to view weather conditions</v>
      </c>
      <c r="R10">
        <v>6</v>
      </c>
    </row>
    <row r="11" spans="2:19">
      <c r="B11">
        <f>ROW()</f>
        <v>11</v>
      </c>
      <c r="C11" t="s">
        <v>26</v>
      </c>
      <c r="D11" t="str">
        <f>"WindSpeed-"&amp;TT[[#This Row],[Tab]]</f>
        <v>WindSpeed-Dashboard</v>
      </c>
      <c r="E11" t="s">
        <v>36</v>
      </c>
      <c r="F11" t="s">
        <v>37</v>
      </c>
      <c r="O11" t="str">
        <f>INDEX(TT[[#This Row],[Language 1]:[Language 10]],1,LanguageSelect)</f>
        <v>Wind simulator</v>
      </c>
      <c r="R11">
        <v>7</v>
      </c>
    </row>
    <row r="12" spans="2:19">
      <c r="B12">
        <f>ROW()</f>
        <v>12</v>
      </c>
      <c r="C12" t="s">
        <v>38</v>
      </c>
      <c r="D12" t="str">
        <f>"WindSpeed-"&amp;TT[[#This Row],[Tab]]</f>
        <v>WindSpeed-Wind Speed (Beaufort)</v>
      </c>
      <c r="E12" t="s">
        <v>39</v>
      </c>
      <c r="F12" t="s">
        <v>40</v>
      </c>
      <c r="O12" t="str">
        <f>INDEX(TT[[#This Row],[Language 1]:[Language 10]],1,LanguageSelect)</f>
        <v>Beaufort Scale</v>
      </c>
      <c r="R12">
        <v>8</v>
      </c>
    </row>
    <row r="13" spans="2:19">
      <c r="B13">
        <f>ROW()</f>
        <v>13</v>
      </c>
      <c r="C13" t="s">
        <v>38</v>
      </c>
      <c r="D13" t="str">
        <f>"WindSpeed-"&amp;TT[[#This Row],[Tab]]</f>
        <v>WindSpeed-Wind Speed (Beaufort)</v>
      </c>
      <c r="E13" t="s">
        <v>41</v>
      </c>
      <c r="F13" t="s">
        <v>42</v>
      </c>
      <c r="O13" t="str">
        <f>INDEX(TT[[#This Row],[Language 1]:[Language 10]],1,LanguageSelect)</f>
        <v>Current Condition</v>
      </c>
      <c r="R13">
        <v>9</v>
      </c>
    </row>
    <row r="14" spans="2:19">
      <c r="B14">
        <f>ROW()</f>
        <v>14</v>
      </c>
      <c r="C14" t="s">
        <v>38</v>
      </c>
      <c r="D14" t="str">
        <f>"WindSpeed-"&amp;TT[[#This Row],[Tab]]</f>
        <v>WindSpeed-Wind Speed (Beaufort)</v>
      </c>
      <c r="E14" t="s">
        <v>43</v>
      </c>
      <c r="F14" t="s">
        <v>44</v>
      </c>
      <c r="O14" t="str">
        <f>INDEX(TT[[#This Row],[Language 1]:[Language 10]],1,LanguageSelect)</f>
        <v>= 1 if Wind Speed is at least minimum on scale</v>
      </c>
      <c r="R14">
        <v>10</v>
      </c>
    </row>
    <row r="15" spans="2:19">
      <c r="B15">
        <f>ROW()</f>
        <v>15</v>
      </c>
      <c r="C15" t="s">
        <v>38</v>
      </c>
      <c r="D15" t="str">
        <f>"WindSpeed-"&amp;TT[[#This Row],[Tab]]</f>
        <v>WindSpeed-Wind Speed (Beaufort)</v>
      </c>
      <c r="E15" t="s">
        <v>45</v>
      </c>
      <c r="F15" t="s">
        <v>46</v>
      </c>
      <c r="O15" t="str">
        <f>INDEX(TT[[#This Row],[Language 1]:[Language 10]],1,LanguageSelect)</f>
        <v>Calm</v>
      </c>
    </row>
    <row r="16" spans="2:19">
      <c r="B16">
        <f>ROW()</f>
        <v>16</v>
      </c>
      <c r="C16" t="s">
        <v>38</v>
      </c>
      <c r="D16" t="str">
        <f>"WindSpeed-"&amp;TT[[#This Row],[Tab]]</f>
        <v>WindSpeed-Wind Speed (Beaufort)</v>
      </c>
      <c r="E16" t="s">
        <v>47</v>
      </c>
      <c r="F16" t="s">
        <v>48</v>
      </c>
      <c r="O16" t="str">
        <f>INDEX(TT[[#This Row],[Language 1]:[Language 10]],1,LanguageSelect)</f>
        <v>Light Air</v>
      </c>
    </row>
    <row r="17" spans="2:15">
      <c r="B17">
        <f>ROW()</f>
        <v>17</v>
      </c>
      <c r="C17" t="s">
        <v>38</v>
      </c>
      <c r="D17" t="str">
        <f>"WindSpeed-"&amp;TT[[#This Row],[Tab]]</f>
        <v>WindSpeed-Wind Speed (Beaufort)</v>
      </c>
      <c r="E17" t="s">
        <v>49</v>
      </c>
      <c r="F17" t="s">
        <v>50</v>
      </c>
      <c r="O17" t="str">
        <f>INDEX(TT[[#This Row],[Language 1]:[Language 10]],1,LanguageSelect)</f>
        <v>Light Breeze</v>
      </c>
    </row>
    <row r="18" spans="2:15">
      <c r="B18">
        <f>ROW()</f>
        <v>18</v>
      </c>
      <c r="C18" t="s">
        <v>38</v>
      </c>
      <c r="D18" t="str">
        <f>"WindSpeed-"&amp;TT[[#This Row],[Tab]]</f>
        <v>WindSpeed-Wind Speed (Beaufort)</v>
      </c>
      <c r="E18" t="s">
        <v>51</v>
      </c>
      <c r="F18" t="s">
        <v>50</v>
      </c>
      <c r="O18" t="str">
        <f>INDEX(TT[[#This Row],[Language 1]:[Language 10]],1,LanguageSelect)</f>
        <v>Gentle Breeze</v>
      </c>
    </row>
    <row r="19" spans="2:15">
      <c r="B19">
        <f>ROW()</f>
        <v>19</v>
      </c>
      <c r="C19" t="s">
        <v>38</v>
      </c>
      <c r="D19" t="str">
        <f>"WindSpeed-"&amp;TT[[#This Row],[Tab]]</f>
        <v>WindSpeed-Wind Speed (Beaufort)</v>
      </c>
      <c r="E19" t="s">
        <v>52</v>
      </c>
      <c r="F19" t="s">
        <v>53</v>
      </c>
      <c r="O19" t="str">
        <f>INDEX(TT[[#This Row],[Language 1]:[Language 10]],1,LanguageSelect)</f>
        <v>Moderate Breeze</v>
      </c>
    </row>
    <row r="20" spans="2:15">
      <c r="B20">
        <f>ROW()</f>
        <v>20</v>
      </c>
      <c r="C20" t="s">
        <v>38</v>
      </c>
      <c r="D20" t="str">
        <f>"WindSpeed-"&amp;TT[[#This Row],[Tab]]</f>
        <v>WindSpeed-Wind Speed (Beaufort)</v>
      </c>
      <c r="E20" t="s">
        <v>54</v>
      </c>
      <c r="F20" t="s">
        <v>55</v>
      </c>
      <c r="O20" t="str">
        <f>INDEX(TT[[#This Row],[Language 1]:[Language 10]],1,LanguageSelect)</f>
        <v>Fresh Breeze</v>
      </c>
    </row>
    <row r="21" spans="2:15">
      <c r="B21">
        <f>ROW()</f>
        <v>21</v>
      </c>
      <c r="C21" t="s">
        <v>38</v>
      </c>
      <c r="D21" t="str">
        <f>"WindSpeed-"&amp;TT[[#This Row],[Tab]]</f>
        <v>WindSpeed-Wind Speed (Beaufort)</v>
      </c>
      <c r="E21" t="s">
        <v>56</v>
      </c>
      <c r="F21" t="s">
        <v>57</v>
      </c>
      <c r="O21" t="str">
        <f>INDEX(TT[[#This Row],[Language 1]:[Language 10]],1,LanguageSelect)</f>
        <v>Strong Breeze</v>
      </c>
    </row>
    <row r="22" spans="2:15">
      <c r="B22">
        <f>ROW()</f>
        <v>22</v>
      </c>
      <c r="C22" t="s">
        <v>38</v>
      </c>
      <c r="D22" t="str">
        <f>"WindSpeed-"&amp;TT[[#This Row],[Tab]]</f>
        <v>WindSpeed-Wind Speed (Beaufort)</v>
      </c>
      <c r="E22" t="s">
        <v>58</v>
      </c>
      <c r="F22" t="s">
        <v>59</v>
      </c>
      <c r="O22" t="str">
        <f>INDEX(TT[[#This Row],[Language 1]:[Language 10]],1,LanguageSelect)</f>
        <v>Near Gale</v>
      </c>
    </row>
    <row r="23" spans="2:15">
      <c r="B23">
        <f>ROW()</f>
        <v>23</v>
      </c>
      <c r="C23" t="s">
        <v>38</v>
      </c>
      <c r="D23" t="str">
        <f>"WindSpeed-"&amp;TT[[#This Row],[Tab]]</f>
        <v>WindSpeed-Wind Speed (Beaufort)</v>
      </c>
      <c r="E23" t="s">
        <v>60</v>
      </c>
      <c r="F23" t="s">
        <v>61</v>
      </c>
      <c r="O23" t="str">
        <f>INDEX(TT[[#This Row],[Language 1]:[Language 10]],1,LanguageSelect)</f>
        <v>Gale</v>
      </c>
    </row>
    <row r="24" spans="2:15">
      <c r="B24">
        <f>ROW()</f>
        <v>24</v>
      </c>
      <c r="C24" t="s">
        <v>38</v>
      </c>
      <c r="D24" t="str">
        <f>"WindSpeed-"&amp;TT[[#This Row],[Tab]]</f>
        <v>WindSpeed-Wind Speed (Beaufort)</v>
      </c>
      <c r="E24" t="s">
        <v>62</v>
      </c>
      <c r="F24" t="s">
        <v>63</v>
      </c>
      <c r="O24" t="str">
        <f>INDEX(TT[[#This Row],[Language 1]:[Language 10]],1,LanguageSelect)</f>
        <v>Strong Gale</v>
      </c>
    </row>
    <row r="25" spans="2:15">
      <c r="B25">
        <f>ROW()</f>
        <v>25</v>
      </c>
      <c r="C25" t="s">
        <v>38</v>
      </c>
      <c r="D25" t="str">
        <f>"WindSpeed-"&amp;TT[[#This Row],[Tab]]</f>
        <v>WindSpeed-Wind Speed (Beaufort)</v>
      </c>
      <c r="E25" t="s">
        <v>64</v>
      </c>
      <c r="F25" t="s">
        <v>65</v>
      </c>
      <c r="O25" t="str">
        <f>INDEX(TT[[#This Row],[Language 1]:[Language 10]],1,LanguageSelect)</f>
        <v>Storm</v>
      </c>
    </row>
    <row r="26" spans="2:15">
      <c r="B26">
        <f>ROW()</f>
        <v>26</v>
      </c>
      <c r="C26" t="s">
        <v>38</v>
      </c>
      <c r="D26" t="str">
        <f>"WindSpeed-"&amp;TT[[#This Row],[Tab]]</f>
        <v>WindSpeed-Wind Speed (Beaufort)</v>
      </c>
      <c r="E26" t="s">
        <v>66</v>
      </c>
      <c r="F26" t="s">
        <v>67</v>
      </c>
      <c r="O26" t="str">
        <f>INDEX(TT[[#This Row],[Language 1]:[Language 10]],1,LanguageSelect)</f>
        <v>Violent Storm</v>
      </c>
    </row>
    <row r="27" spans="2:15">
      <c r="B27">
        <f>ROW()</f>
        <v>27</v>
      </c>
      <c r="C27" t="s">
        <v>38</v>
      </c>
      <c r="D27" t="str">
        <f>"WindSpeed-"&amp;TT[[#This Row],[Tab]]</f>
        <v>WindSpeed-Wind Speed (Beaufort)</v>
      </c>
      <c r="E27" t="s">
        <v>68</v>
      </c>
      <c r="F27" t="s">
        <v>69</v>
      </c>
      <c r="O27" t="str">
        <f>INDEX(TT[[#This Row],[Language 1]:[Language 10]],1,LanguageSelect)</f>
        <v>Hurricane Force</v>
      </c>
    </row>
    <row r="28" spans="2:15">
      <c r="B28">
        <f>ROW()</f>
        <v>28</v>
      </c>
      <c r="C28" t="s">
        <v>70</v>
      </c>
      <c r="D28" t="str">
        <f>"WindSpeed-"&amp;TT[[#This Row],[Tab]]</f>
        <v>WindSpeed-Location Data</v>
      </c>
      <c r="E28" t="s">
        <v>27</v>
      </c>
      <c r="F28" t="s">
        <v>28</v>
      </c>
      <c r="O28" t="str">
        <f>INDEX(TT[[#This Row],[Language 1]:[Language 10]],1,LanguageSelect)</f>
        <v>Temperature</v>
      </c>
    </row>
    <row r="29" spans="2:15">
      <c r="B29">
        <f>ROW()</f>
        <v>29</v>
      </c>
      <c r="C29" t="s">
        <v>70</v>
      </c>
      <c r="D29" t="str">
        <f>"WindSpeed-"&amp;TT[[#This Row],[Tab]]</f>
        <v>WindSpeed-Location Data</v>
      </c>
      <c r="E29" t="s">
        <v>71</v>
      </c>
      <c r="F29" t="s">
        <v>33</v>
      </c>
      <c r="O29" t="str">
        <f>INDEX(TT[[#This Row],[Language 1]:[Language 10]],1,LanguageSelect)</f>
        <v>Wind Speed</v>
      </c>
    </row>
    <row r="30" spans="2:15">
      <c r="B30">
        <f>ROW()</f>
        <v>30</v>
      </c>
      <c r="C30" t="s">
        <v>70</v>
      </c>
      <c r="D30" t="str">
        <f>"WindSpeed-"&amp;TT[[#This Row],[Tab]]</f>
        <v>WindSpeed-Location Data</v>
      </c>
      <c r="E30" t="s">
        <v>72</v>
      </c>
      <c r="F30" t="s">
        <v>37</v>
      </c>
      <c r="O30" t="str">
        <f>INDEX(TT[[#This Row],[Language 1]:[Language 10]],1,LanguageSelect)</f>
        <v>Wind Simulator</v>
      </c>
    </row>
    <row r="31" spans="2:15">
      <c r="B31">
        <f>ROW()</f>
        <v>31</v>
      </c>
      <c r="C31" t="s">
        <v>70</v>
      </c>
      <c r="D31" t="str">
        <f>"WindSpeed-"&amp;TT[[#This Row],[Tab]]</f>
        <v>WindSpeed-Location Data</v>
      </c>
      <c r="E31" t="s">
        <v>73</v>
      </c>
      <c r="F31" t="s">
        <v>74</v>
      </c>
      <c r="O31" t="str">
        <f>INDEX(TT[[#This Row],[Language 1]:[Language 10]],1,LanguageSelect)</f>
        <v xml:space="preserve">Local Time: </v>
      </c>
    </row>
    <row r="32" spans="2:15">
      <c r="B32">
        <f>ROW()</f>
        <v>32</v>
      </c>
      <c r="C32" t="s">
        <v>70</v>
      </c>
      <c r="D32" t="str">
        <f>"WindSpeed-"&amp;TT[[#This Row],[Tab]]</f>
        <v>WindSpeed-Location Data</v>
      </c>
      <c r="E32" t="s">
        <v>75</v>
      </c>
      <c r="F32" t="s">
        <v>76</v>
      </c>
      <c r="O32" t="str">
        <f>INDEX(TT[[#This Row],[Language 1]:[Language 10]],1,LanguageSelect)</f>
        <v>Getting Data</v>
      </c>
    </row>
    <row r="33" spans="2:15">
      <c r="B33">
        <f>ROW()</f>
        <v>33</v>
      </c>
      <c r="C33" t="s">
        <v>70</v>
      </c>
      <c r="D33" t="str">
        <f>"WindSpeed-"&amp;TT[[#This Row],[Tab]]</f>
        <v>WindSpeed-Location Data</v>
      </c>
      <c r="E33" t="s">
        <v>77</v>
      </c>
      <c r="F33" t="s">
        <v>78</v>
      </c>
      <c r="O33" t="str">
        <f>INDEX(TT[[#This Row],[Language 1]:[Language 10]],1,LanguageSelect)</f>
        <v>My Device</v>
      </c>
    </row>
    <row r="34" spans="2:15">
      <c r="B34">
        <f>ROW()</f>
        <v>34</v>
      </c>
      <c r="C34" t="s">
        <v>70</v>
      </c>
      <c r="D34" t="str">
        <f>"WindSpeed-"&amp;TT[[#This Row],[Tab]]</f>
        <v>WindSpeed-Location Data</v>
      </c>
      <c r="E34" t="s">
        <v>79</v>
      </c>
      <c r="F34" t="s">
        <v>80</v>
      </c>
      <c r="O34" t="str">
        <f>INDEX(TT[[#This Row],[Language 1]:[Language 10]],1,LanguageSelect)</f>
        <v>Seattle, USA</v>
      </c>
    </row>
    <row r="35" spans="2:15">
      <c r="B35">
        <f>ROW()</f>
        <v>35</v>
      </c>
      <c r="C35" t="s">
        <v>70</v>
      </c>
      <c r="D35" t="str">
        <f>"WindSpeed-"&amp;TT[[#This Row],[Tab]]</f>
        <v>WindSpeed-Location Data</v>
      </c>
      <c r="E35" t="s">
        <v>81</v>
      </c>
      <c r="F35" t="s">
        <v>82</v>
      </c>
      <c r="O35" t="str">
        <f>INDEX(TT[[#This Row],[Language 1]:[Language 10]],1,LanguageSelect)</f>
        <v>Chicago, USA</v>
      </c>
    </row>
    <row r="36" spans="2:15">
      <c r="B36">
        <f>ROW()</f>
        <v>36</v>
      </c>
      <c r="C36" t="s">
        <v>70</v>
      </c>
      <c r="D36" t="str">
        <f>"WindSpeed-"&amp;TT[[#This Row],[Tab]]</f>
        <v>WindSpeed-Location Data</v>
      </c>
      <c r="E36" t="s">
        <v>83</v>
      </c>
      <c r="F36" t="s">
        <v>84</v>
      </c>
      <c r="O36" t="str">
        <f>INDEX(TT[[#This Row],[Language 1]:[Language 10]],1,LanguageSelect)</f>
        <v>New York, USA</v>
      </c>
    </row>
    <row r="37" spans="2:15">
      <c r="B37">
        <f>ROW()</f>
        <v>37</v>
      </c>
      <c r="C37" t="s">
        <v>70</v>
      </c>
      <c r="D37" t="str">
        <f>"WindSpeed-"&amp;TT[[#This Row],[Tab]]</f>
        <v>WindSpeed-Location Data</v>
      </c>
      <c r="E37" t="s">
        <v>85</v>
      </c>
      <c r="F37" t="s">
        <v>85</v>
      </c>
      <c r="O37" t="str">
        <f>INDEX(TT[[#This Row],[Language 1]:[Language 10]],1,LanguageSelect)</f>
        <v>Paris, France</v>
      </c>
    </row>
    <row r="38" spans="2:15">
      <c r="B38">
        <f>ROW()</f>
        <v>38</v>
      </c>
      <c r="C38" t="s">
        <v>70</v>
      </c>
      <c r="D38" t="str">
        <f>"WindSpeed-"&amp;TT[[#This Row],[Tab]]</f>
        <v>WindSpeed-Location Data</v>
      </c>
      <c r="E38" t="s">
        <v>86</v>
      </c>
      <c r="F38" t="s">
        <v>87</v>
      </c>
      <c r="O38" t="str">
        <f>INDEX(TT[[#This Row],[Language 1]:[Language 10]],1,LanguageSelect)</f>
        <v>Seoul, South Korea</v>
      </c>
    </row>
    <row r="39" spans="2:15">
      <c r="B39">
        <f>ROW()</f>
        <v>39</v>
      </c>
      <c r="C39" t="s">
        <v>70</v>
      </c>
      <c r="D39" t="str">
        <f>"WindSpeed-"&amp;TT[[#This Row],[Tab]]</f>
        <v>WindSpeed-Location Data</v>
      </c>
      <c r="E39" t="s">
        <v>88</v>
      </c>
      <c r="F39" t="s">
        <v>89</v>
      </c>
      <c r="O39" t="str">
        <f>INDEX(TT[[#This Row],[Language 1]:[Language 10]],1,LanguageSelect)</f>
        <v>Prague, Czech Republic</v>
      </c>
    </row>
    <row r="40" spans="2:15">
      <c r="B40">
        <f>ROW()</f>
        <v>40</v>
      </c>
      <c r="C40" t="s">
        <v>70</v>
      </c>
      <c r="D40" t="str">
        <f>"WindSpeed-"&amp;TT[[#This Row],[Tab]]</f>
        <v>WindSpeed-Location Data</v>
      </c>
      <c r="E40" t="s">
        <v>90</v>
      </c>
      <c r="F40" t="s">
        <v>91</v>
      </c>
      <c r="O40" t="str">
        <f>INDEX(TT[[#This Row],[Language 1]:[Language 10]],1,LanguageSelect)</f>
        <v>Edinburg, Scotland</v>
      </c>
    </row>
    <row r="41" spans="2:15">
      <c r="B41">
        <f>ROW()</f>
        <v>41</v>
      </c>
      <c r="D41" t="str">
        <f>"WindSpeed-"&amp;TT[[#This Row],[Tab]]</f>
        <v>WindSpeed-</v>
      </c>
      <c r="E41" t="s">
        <v>92</v>
      </c>
      <c r="F41" t="s">
        <v>93</v>
      </c>
      <c r="O41" t="str">
        <f>INDEX(TT[[#This Row],[Language 1]:[Language 10]],1,LanguageSelect)</f>
        <v>Rio de Janeiro, Brazil</v>
      </c>
    </row>
    <row r="42" spans="2:15">
      <c r="B42">
        <f>ROW()</f>
        <v>42</v>
      </c>
      <c r="C42" t="s">
        <v>70</v>
      </c>
      <c r="D42" t="str">
        <f>"WindSpeed-"&amp;TT[[#This Row],[Tab]]</f>
        <v>WindSpeed-Location Data</v>
      </c>
      <c r="E42" t="s">
        <v>94</v>
      </c>
      <c r="F42" t="s">
        <v>95</v>
      </c>
      <c r="O42" t="str">
        <f>INDEX(TT[[#This Row],[Language 1]:[Language 10]],1,LanguageSelect)</f>
        <v>Rio Gallegos, Argentina</v>
      </c>
    </row>
    <row r="43" spans="2:15">
      <c r="B43">
        <f>ROW()</f>
        <v>43</v>
      </c>
      <c r="C43" t="s">
        <v>70</v>
      </c>
      <c r="D43" t="str">
        <f>"WindSpeed-"&amp;TT[[#This Row],[Tab]]</f>
        <v>WindSpeed-Location Data</v>
      </c>
      <c r="E43" t="s">
        <v>96</v>
      </c>
      <c r="F43" t="s">
        <v>97</v>
      </c>
      <c r="O43" t="str">
        <f>INDEX(TT[[#This Row],[Language 1]:[Language 10]],1,LanguageSelect)</f>
        <v>Mount Everest</v>
      </c>
    </row>
    <row r="44" spans="2:15">
      <c r="B44">
        <f>ROW()</f>
        <v>44</v>
      </c>
      <c r="C44" t="s">
        <v>70</v>
      </c>
      <c r="D44" t="str">
        <f>"WindSpeed-"&amp;TT[[#This Row],[Tab]]</f>
        <v>WindSpeed-Location Data</v>
      </c>
      <c r="E44" t="s">
        <v>98</v>
      </c>
      <c r="F44" t="s">
        <v>99</v>
      </c>
      <c r="O44" t="str">
        <f>INDEX(TT[[#This Row],[Language 1]:[Language 10]],1,LanguageSelect)</f>
        <v>Wellington, New Zealand</v>
      </c>
    </row>
    <row r="45" spans="2:15">
      <c r="B45">
        <f>ROW()</f>
        <v>45</v>
      </c>
      <c r="C45" t="s">
        <v>100</v>
      </c>
      <c r="D45" t="str">
        <f>"WindSpeed-"&amp;TT[[#This Row],[Tab]]</f>
        <v>WindSpeed-TT</v>
      </c>
      <c r="E45" t="s">
        <v>101</v>
      </c>
      <c r="F45" t="s">
        <v>102</v>
      </c>
      <c r="O45" t="str">
        <f>INDEX(TT[[#This Row],[Language 1]:[Language 10]],1,LanguageSelect)</f>
        <v>Select language </v>
      </c>
    </row>
    <row r="46" spans="2:15">
      <c r="B46">
        <f>ROW()</f>
        <v>46</v>
      </c>
      <c r="D46" t="str">
        <f>"WindSpeed-"&amp;TT[[#This Row],[Tab]]</f>
        <v>WindSpeed-</v>
      </c>
      <c r="E46" t="s">
        <v>103</v>
      </c>
      <c r="F46" t="s">
        <v>104</v>
      </c>
      <c r="O46" t="str">
        <f>INDEX(TT[[#This Row],[Language 1]:[Language 10]],1,LanguageSelect)</f>
        <v>Revolutions per minute</v>
      </c>
    </row>
    <row r="47" spans="2:15">
      <c r="B47">
        <f>ROW()</f>
        <v>47</v>
      </c>
      <c r="D47" t="str">
        <f>"WindSpeed-"&amp;TT[[#This Row],[Tab]]</f>
        <v>WindSpeed-</v>
      </c>
      <c r="E47" t="s">
        <v>105</v>
      </c>
      <c r="F47" t="s">
        <v>105</v>
      </c>
      <c r="O47" t="str">
        <f>INDEX(TT[[#This Row],[Language 1]:[Language 10]],1,LanguageSelect)</f>
        <v>RPM</v>
      </c>
    </row>
    <row r="48" spans="2:15">
      <c r="B48">
        <f>ROW()</f>
        <v>48</v>
      </c>
      <c r="D48" t="str">
        <f>"WindSpeed-"&amp;TT[[#This Row],[Tab]]</f>
        <v>WindSpeed-</v>
      </c>
      <c r="E48" t="s">
        <v>106</v>
      </c>
      <c r="F48" t="s">
        <v>107</v>
      </c>
      <c r="O48" t="str">
        <f>INDEX(TT[[#This Row],[Language 1]:[Language 10]],1,LanguageSelect)</f>
        <v>Calm; smoke rises vertically</v>
      </c>
    </row>
    <row r="49" spans="2:15">
      <c r="B49">
        <f>ROW()</f>
        <v>49</v>
      </c>
      <c r="D49" t="str">
        <f>"WindSpeed-"&amp;TT[[#This Row],[Tab]]</f>
        <v>WindSpeed-</v>
      </c>
      <c r="E49" t="s">
        <v>108</v>
      </c>
      <c r="F49" t="s">
        <v>109</v>
      </c>
      <c r="O49" t="str">
        <f>INDEX(TT[[#This Row],[Language 1]:[Language 10]],1,LanguageSelect)</f>
        <v>Direction of wind shown by smoke drift, but not by wind vane.</v>
      </c>
    </row>
    <row r="50" spans="2:15">
      <c r="B50">
        <f>ROW()</f>
        <v>50</v>
      </c>
      <c r="D50" t="str">
        <f>"WindSpeed-"&amp;TT[[#This Row],[Tab]]</f>
        <v>WindSpeed-</v>
      </c>
      <c r="E50" t="s">
        <v>110</v>
      </c>
      <c r="F50" t="s">
        <v>111</v>
      </c>
      <c r="O50" t="str">
        <f>INDEX(TT[[#This Row],[Language 1]:[Language 10]],1,LanguageSelect)</f>
        <v>Wind felt on face; leaves rustle; ordinary vanes moved.</v>
      </c>
    </row>
    <row r="51" spans="2:15">
      <c r="B51">
        <f>ROW()</f>
        <v>51</v>
      </c>
      <c r="D51" t="str">
        <f>"WindSpeed-"&amp;TT[[#This Row],[Tab]]</f>
        <v>WindSpeed-</v>
      </c>
      <c r="E51" t="s">
        <v>112</v>
      </c>
      <c r="F51" t="s">
        <v>113</v>
      </c>
      <c r="O51" t="str">
        <f>INDEX(TT[[#This Row],[Language 1]:[Language 10]],1,LanguageSelect)</f>
        <v>Leaves and small twigs in constant motion, wind extends light flag.</v>
      </c>
    </row>
    <row r="52" spans="2:15">
      <c r="B52">
        <f>ROW()</f>
        <v>52</v>
      </c>
      <c r="D52" t="str">
        <f>"WindSpeed-"&amp;TT[[#This Row],[Tab]]</f>
        <v>WindSpeed-</v>
      </c>
      <c r="E52" t="s">
        <v>114</v>
      </c>
      <c r="F52" t="s">
        <v>115</v>
      </c>
      <c r="O52" t="str">
        <f>INDEX(TT[[#This Row],[Language 1]:[Language 10]],1,LanguageSelect)</f>
        <v>Raises dust and loose paper, small branches are moved.</v>
      </c>
    </row>
    <row r="53" spans="2:15">
      <c r="B53">
        <f>ROW()</f>
        <v>53</v>
      </c>
      <c r="D53" t="str">
        <f>"WindSpeed-"&amp;TT[[#This Row],[Tab]]</f>
        <v>WindSpeed-</v>
      </c>
      <c r="E53" t="s">
        <v>116</v>
      </c>
      <c r="F53" t="s">
        <v>117</v>
      </c>
      <c r="O53" t="str">
        <f>INDEX(TT[[#This Row],[Language 1]:[Language 10]],1,LanguageSelect)</f>
        <v>Small trees in leaf begin to sway; crested wavelets form on inland waters.</v>
      </c>
    </row>
    <row r="54" spans="2:15">
      <c r="B54">
        <f>ROW()</f>
        <v>54</v>
      </c>
      <c r="D54" t="str">
        <f>"WindSpeed-"&amp;TT[[#This Row],[Tab]]</f>
        <v>WindSpeed-</v>
      </c>
      <c r="E54" t="s">
        <v>118</v>
      </c>
      <c r="F54" t="s">
        <v>119</v>
      </c>
      <c r="O54" t="str">
        <f>INDEX(TT[[#This Row],[Language 1]:[Language 10]],1,LanguageSelect)</f>
        <v>Large branches in motion; whistling heard in telegraph.</v>
      </c>
    </row>
    <row r="55" spans="2:15">
      <c r="B55">
        <f>ROW()</f>
        <v>55</v>
      </c>
      <c r="D55" t="str">
        <f>"WindSpeed-"&amp;TT[[#This Row],[Tab]]</f>
        <v>WindSpeed-</v>
      </c>
      <c r="E55" t="s">
        <v>120</v>
      </c>
      <c r="F55" t="s">
        <v>121</v>
      </c>
      <c r="O55" t="str">
        <f>INDEX(TT[[#This Row],[Language 1]:[Language 10]],1,LanguageSelect)</f>
        <v>Whole trees in motion; inconvenience felt when walking.</v>
      </c>
    </row>
    <row r="56" spans="2:15">
      <c r="B56">
        <f>ROW()</f>
        <v>56</v>
      </c>
      <c r="D56" t="str">
        <f>"WindSpeed-"&amp;TT[[#This Row],[Tab]]</f>
        <v>WindSpeed-</v>
      </c>
      <c r="E56" t="s">
        <v>122</v>
      </c>
      <c r="F56" t="s">
        <v>123</v>
      </c>
      <c r="O56" t="str">
        <f>INDEX(TT[[#This Row],[Language 1]:[Language 10]],1,LanguageSelect)</f>
        <v>Breaks twigs off trees, generally impedes progress.</v>
      </c>
    </row>
    <row r="57" spans="2:15">
      <c r="B57">
        <f>ROW()</f>
        <v>57</v>
      </c>
      <c r="D57" t="str">
        <f>"WindSpeed-"&amp;TT[[#This Row],[Tab]]</f>
        <v>WindSpeed-</v>
      </c>
      <c r="E57" t="s">
        <v>124</v>
      </c>
      <c r="F57" t="s">
        <v>125</v>
      </c>
      <c r="O57" t="str">
        <f>INDEX(TT[[#This Row],[Language 1]:[Language 10]],1,LanguageSelect)</f>
        <v>Slight structural damage occurs (chimney-pots and slates removed).</v>
      </c>
    </row>
    <row r="58" spans="2:15">
      <c r="B58">
        <f>ROW()</f>
        <v>58</v>
      </c>
      <c r="D58" t="str">
        <f>"WindSpeed-"&amp;TT[[#This Row],[Tab]]</f>
        <v>WindSpeed-</v>
      </c>
      <c r="E58" t="s">
        <v>126</v>
      </c>
      <c r="F58" t="s">
        <v>127</v>
      </c>
      <c r="O58" t="str">
        <f>INDEX(TT[[#This Row],[Language 1]:[Language 10]],1,LanguageSelect)</f>
        <v>Trees uprooted; considerable damage occurs.</v>
      </c>
    </row>
    <row r="59" spans="2:15">
      <c r="B59">
        <f>ROW()</f>
        <v>59</v>
      </c>
      <c r="D59" t="str">
        <f>"WindSpeed-"&amp;TT[[#This Row],[Tab]]</f>
        <v>WindSpeed-</v>
      </c>
      <c r="E59" t="s">
        <v>128</v>
      </c>
      <c r="F59" t="s">
        <v>129</v>
      </c>
      <c r="O59" t="str">
        <f>INDEX(TT[[#This Row],[Language 1]:[Language 10]],1,LanguageSelect)</f>
        <v>Violent, wide-spread damage.</v>
      </c>
    </row>
    <row r="60" spans="2:15">
      <c r="B60">
        <f>ROW()</f>
        <v>60</v>
      </c>
      <c r="D60" t="str">
        <f>"WindSpeed-"&amp;TT[[#This Row],[Tab]]</f>
        <v>WindSpeed-</v>
      </c>
      <c r="E60" t="s">
        <v>128</v>
      </c>
      <c r="F60" t="s">
        <v>129</v>
      </c>
      <c r="O60" t="str">
        <f>INDEX(TT[[#This Row],[Language 1]:[Language 10]],1,LanguageSelect)</f>
        <v>Violent, wide-spread damage.</v>
      </c>
    </row>
    <row r="61" spans="2:15">
      <c r="B61">
        <f>ROW()</f>
        <v>61</v>
      </c>
      <c r="D61" t="str">
        <f>"WindSpeed-"&amp;TT[[#This Row],[Tab]]</f>
        <v>WindSpeed-</v>
      </c>
      <c r="E61" t="s">
        <v>130</v>
      </c>
      <c r="F61" t="s">
        <v>131</v>
      </c>
      <c r="O61" t="str">
        <f>INDEX(TT[[#This Row],[Language 1]:[Language 10]],1,LanguageSelect)</f>
        <v>Workbook Setup</v>
      </c>
    </row>
    <row r="62" spans="2:15">
      <c r="B62">
        <f>ROW()</f>
        <v>62</v>
      </c>
      <c r="D62" t="str">
        <f>"WindSpeed-"&amp;TT[[#This Row],[Tab]]</f>
        <v>WindSpeed-</v>
      </c>
      <c r="E62" t="s">
        <v>132</v>
      </c>
      <c r="F62" t="s">
        <v>133</v>
      </c>
      <c r="O62" t="str">
        <f>INDEX(TT[[#This Row],[Language 1]:[Language 10]],1,LanguageSelect)</f>
        <v>Analyzing wind speed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C006E-3FC2-4095-A12A-9CD0CD4BE8C6}">
  <sheetPr codeName="Sheet1"/>
  <dimension ref="A1:AK49"/>
  <sheetViews>
    <sheetView tabSelected="1" zoomScale="115" zoomScaleNormal="115" workbookViewId="0">
      <selection activeCell="B1" sqref="B1"/>
    </sheetView>
  </sheetViews>
  <sheetFormatPr defaultColWidth="8.5" defaultRowHeight="22.5" customHeight="1"/>
  <cols>
    <col min="1" max="1" width="0.125" style="22" customWidth="1"/>
    <col min="2" max="2" width="1.75" style="22" customWidth="1"/>
    <col min="3" max="3" width="2.5" style="22" customWidth="1"/>
    <col min="4" max="4" width="3.75" style="22" customWidth="1"/>
    <col min="5" max="10" width="7.5" style="22" customWidth="1"/>
    <col min="11" max="11" width="3.125" style="22" customWidth="1"/>
    <col min="12" max="13" width="6.25" style="22" customWidth="1"/>
    <col min="14" max="14" width="2.5" style="22" customWidth="1"/>
    <col min="15" max="15" width="1.875" style="22" customWidth="1"/>
    <col min="16" max="16" width="2.5" style="22" customWidth="1"/>
    <col min="17" max="17" width="7.5" style="22" customWidth="1"/>
    <col min="18" max="19" width="6.875" style="22" customWidth="1"/>
    <col min="20" max="20" width="7.5" style="22" customWidth="1"/>
    <col min="21" max="21" width="2.5" style="22" customWidth="1"/>
    <col min="22" max="23" width="1.875" style="22" customWidth="1"/>
    <col min="24" max="24" width="3.125" style="33" customWidth="1"/>
    <col min="25" max="25" width="1.25" style="22" customWidth="1"/>
    <col min="26" max="26" width="7.5" style="22" customWidth="1"/>
    <col min="27" max="27" width="3.75" style="22" customWidth="1"/>
    <col min="28" max="28" width="7.5" style="22" customWidth="1"/>
    <col min="29" max="29" width="2.5" style="22" customWidth="1"/>
    <col min="30" max="30" width="1.875" style="22" customWidth="1"/>
    <col min="31" max="31" width="2.5" style="22" customWidth="1"/>
    <col min="32" max="32" width="5.625" style="22" customWidth="1"/>
    <col min="33" max="33" width="1.875" style="22" customWidth="1"/>
    <col min="34" max="34" width="7.5" style="22" customWidth="1"/>
    <col min="35" max="35" width="2.5" style="22" customWidth="1"/>
    <col min="36" max="36" width="1.875" style="22" customWidth="1"/>
    <col min="37" max="16384" width="8.5" style="22"/>
  </cols>
  <sheetData>
    <row r="1" spans="1:37" s="23" customFormat="1" ht="10.5" customHeight="1">
      <c r="A1" s="57" t="s">
        <v>134</v>
      </c>
      <c r="X1" s="31"/>
    </row>
    <row r="2" spans="1:37" s="23" customFormat="1" ht="25.5" customHeight="1">
      <c r="C2" s="62" t="str">
        <f>TT!O62</f>
        <v>Analyzing wind speed</v>
      </c>
      <c r="D2" s="62"/>
      <c r="E2" s="62"/>
      <c r="F2" s="62"/>
      <c r="G2" s="62"/>
      <c r="H2" s="62"/>
      <c r="I2" s="62"/>
      <c r="X2" s="31"/>
    </row>
    <row r="3" spans="1:37" s="23" customFormat="1" ht="10.5" customHeight="1" thickBot="1">
      <c r="X3" s="31"/>
    </row>
    <row r="4" spans="1:37" s="23" customFormat="1" ht="18.75" customHeight="1" thickBot="1">
      <c r="C4" s="58" t="str">
        <f>TT!$O$45</f>
        <v>Select language </v>
      </c>
      <c r="D4" s="58"/>
      <c r="E4" s="58"/>
      <c r="F4" s="58"/>
      <c r="G4" s="59" t="s">
        <v>22</v>
      </c>
      <c r="H4" s="60"/>
      <c r="I4" s="61"/>
      <c r="X4" s="31"/>
    </row>
    <row r="5" spans="1:37" s="23" customFormat="1" ht="10.5" customHeight="1">
      <c r="X5" s="31"/>
    </row>
    <row r="6" spans="1:37" ht="26.25" customHeight="1" thickBot="1">
      <c r="C6" s="26"/>
      <c r="D6" s="63" t="str">
        <f>TT!$O$10</f>
        <v>Select a location to view weather conditions</v>
      </c>
      <c r="E6" s="63"/>
      <c r="F6" s="63"/>
      <c r="G6" s="63"/>
      <c r="H6" s="63"/>
      <c r="I6" s="63"/>
      <c r="J6" s="63"/>
      <c r="K6" s="63"/>
      <c r="L6" s="63"/>
      <c r="M6" s="63"/>
      <c r="N6" s="26"/>
      <c r="P6" s="26"/>
      <c r="Q6" s="67" t="str">
        <f>TT!$O$9</f>
        <v>Wind speed</v>
      </c>
      <c r="R6" s="67"/>
      <c r="S6" s="67"/>
      <c r="T6" s="67"/>
      <c r="U6" s="26"/>
      <c r="V6" s="48"/>
      <c r="W6" s="26"/>
      <c r="X6" s="67" t="str">
        <f>TT!$O$12</f>
        <v>Beaufort Scale</v>
      </c>
      <c r="Y6" s="67"/>
      <c r="Z6" s="67"/>
      <c r="AA6" s="67"/>
      <c r="AB6" s="67"/>
      <c r="AC6" s="26"/>
      <c r="AE6" s="26"/>
      <c r="AF6" s="67" t="str">
        <f>TT!$O$28</f>
        <v>Temperature</v>
      </c>
      <c r="AG6" s="67"/>
      <c r="AH6" s="67"/>
      <c r="AI6" s="26"/>
      <c r="AK6" s="23"/>
    </row>
    <row r="7" spans="1:37" ht="18.75" customHeight="1" thickBot="1">
      <c r="C7" s="25"/>
      <c r="D7" s="25"/>
      <c r="E7" s="25"/>
      <c r="F7" s="25"/>
      <c r="G7" s="25"/>
      <c r="H7" s="25"/>
      <c r="I7" s="25"/>
      <c r="J7" s="25"/>
      <c r="K7" s="25"/>
      <c r="L7" s="25"/>
      <c r="M7" s="25"/>
      <c r="N7" s="25"/>
      <c r="P7" s="25"/>
      <c r="Q7" s="25"/>
      <c r="R7" s="25"/>
      <c r="S7" s="25"/>
      <c r="T7" s="25"/>
      <c r="U7" s="25"/>
      <c r="W7" s="25"/>
      <c r="X7" s="32"/>
      <c r="Y7" s="25"/>
      <c r="Z7" s="25"/>
      <c r="AA7" s="25"/>
      <c r="AB7" s="25"/>
      <c r="AC7" s="25"/>
      <c r="AE7" s="25"/>
      <c r="AF7" s="25"/>
      <c r="AG7" s="25"/>
      <c r="AH7" s="25"/>
      <c r="AI7" s="25"/>
      <c r="AK7" s="23"/>
    </row>
    <row r="8" spans="1:37" ht="18.75" customHeight="1" thickBot="1">
      <c r="C8" s="25"/>
      <c r="D8" s="30"/>
      <c r="E8" s="64" t="s">
        <v>79</v>
      </c>
      <c r="F8" s="65"/>
      <c r="G8" s="66"/>
      <c r="H8" s="25"/>
      <c r="I8" s="25"/>
      <c r="J8" s="25"/>
      <c r="K8" s="25"/>
      <c r="L8" s="25"/>
      <c r="M8" s="25"/>
      <c r="N8" s="25"/>
      <c r="P8" s="25"/>
      <c r="Q8" s="25"/>
      <c r="R8" s="25"/>
      <c r="S8" s="25"/>
      <c r="T8" s="25"/>
      <c r="U8" s="25"/>
      <c r="W8" s="25"/>
      <c r="X8" s="32"/>
      <c r="Y8" s="25"/>
      <c r="Z8" s="25"/>
      <c r="AA8" s="25"/>
      <c r="AB8" s="25"/>
      <c r="AC8" s="25"/>
      <c r="AE8" s="25"/>
      <c r="AF8" s="53">
        <v>40</v>
      </c>
      <c r="AG8" s="46"/>
      <c r="AH8" s="25"/>
      <c r="AI8" s="25"/>
      <c r="AK8" s="23"/>
    </row>
    <row r="9" spans="1:37" ht="15" customHeight="1">
      <c r="C9" s="25"/>
      <c r="D9" s="25"/>
      <c r="E9" s="25"/>
      <c r="F9" s="25"/>
      <c r="G9" s="25"/>
      <c r="H9" s="25"/>
      <c r="I9" s="25"/>
      <c r="J9" s="25"/>
      <c r="K9" s="25"/>
      <c r="L9" s="25"/>
      <c r="M9" s="25"/>
      <c r="N9" s="25"/>
      <c r="P9" s="25"/>
      <c r="Q9" s="25"/>
      <c r="R9" s="25"/>
      <c r="S9" s="25"/>
      <c r="T9" s="25"/>
      <c r="U9" s="25"/>
      <c r="W9" s="25"/>
      <c r="X9" s="32"/>
      <c r="Y9" s="25"/>
      <c r="Z9" s="25"/>
      <c r="AA9" s="25"/>
      <c r="AB9" s="25"/>
      <c r="AC9" s="25"/>
      <c r="AE9" s="25"/>
      <c r="AF9" s="53"/>
      <c r="AG9" s="46"/>
      <c r="AH9" s="25"/>
      <c r="AI9" s="25"/>
      <c r="AK9" s="23"/>
    </row>
    <row r="10" spans="1:37" ht="15" customHeight="1">
      <c r="C10" s="25"/>
      <c r="D10" s="25"/>
      <c r="E10" s="25"/>
      <c r="F10" s="25"/>
      <c r="G10" s="25"/>
      <c r="H10" s="25"/>
      <c r="I10" s="25"/>
      <c r="J10" s="25"/>
      <c r="K10" s="25"/>
      <c r="L10" s="25"/>
      <c r="M10" s="25"/>
      <c r="N10" s="25"/>
      <c r="P10" s="25"/>
      <c r="Q10" s="25"/>
      <c r="R10" s="25"/>
      <c r="S10" s="25"/>
      <c r="T10" s="25"/>
      <c r="U10" s="25"/>
      <c r="W10" s="25"/>
      <c r="X10" s="32"/>
      <c r="Y10" s="25"/>
      <c r="Z10" s="25"/>
      <c r="AA10" s="25"/>
      <c r="AB10" s="25"/>
      <c r="AC10" s="25"/>
      <c r="AE10" s="25"/>
      <c r="AF10" s="68">
        <v>35</v>
      </c>
      <c r="AG10" s="46"/>
      <c r="AH10" s="25"/>
      <c r="AI10" s="25"/>
      <c r="AK10" s="23"/>
    </row>
    <row r="11" spans="1:37" ht="3.75" customHeight="1">
      <c r="C11" s="25"/>
      <c r="D11" s="25"/>
      <c r="E11" s="25"/>
      <c r="F11" s="25"/>
      <c r="G11" s="25"/>
      <c r="H11" s="25"/>
      <c r="I11" s="25"/>
      <c r="J11" s="25"/>
      <c r="K11" s="25"/>
      <c r="L11" s="25"/>
      <c r="M11" s="25"/>
      <c r="N11" s="25"/>
      <c r="P11" s="25"/>
      <c r="Q11" s="25"/>
      <c r="R11" s="25"/>
      <c r="S11" s="25"/>
      <c r="T11" s="25"/>
      <c r="U11" s="25"/>
      <c r="W11" s="25"/>
      <c r="X11" s="69" t="str">
        <f>INDEX(Tbl_Beaufort[Text],BeaufortVal+1)</f>
        <v>Wind felt on face; leaves rustle; ordinary vanes moved.</v>
      </c>
      <c r="Y11" s="69"/>
      <c r="Z11" s="69"/>
      <c r="AA11" s="69"/>
      <c r="AB11" s="69"/>
      <c r="AC11" s="25"/>
      <c r="AE11" s="25"/>
      <c r="AF11" s="68"/>
      <c r="AG11" s="46"/>
      <c r="AH11" s="25"/>
      <c r="AI11" s="25"/>
      <c r="AK11" s="23"/>
    </row>
    <row r="12" spans="1:37" ht="15" customHeight="1">
      <c r="C12" s="25"/>
      <c r="D12" s="25"/>
      <c r="E12" s="25"/>
      <c r="F12" s="25"/>
      <c r="G12" s="25"/>
      <c r="H12" s="25"/>
      <c r="I12" s="25"/>
      <c r="J12" s="25"/>
      <c r="K12" s="25"/>
      <c r="L12" s="25"/>
      <c r="M12" s="25"/>
      <c r="N12" s="25"/>
      <c r="P12" s="25"/>
      <c r="Q12" s="25"/>
      <c r="R12" s="25"/>
      <c r="S12" s="25"/>
      <c r="T12" s="25"/>
      <c r="U12" s="25"/>
      <c r="W12" s="25"/>
      <c r="X12" s="69"/>
      <c r="Y12" s="69"/>
      <c r="Z12" s="69"/>
      <c r="AA12" s="69"/>
      <c r="AB12" s="69"/>
      <c r="AC12" s="25"/>
      <c r="AE12" s="25"/>
      <c r="AF12" s="53"/>
      <c r="AG12" s="46"/>
      <c r="AH12" s="25"/>
      <c r="AI12" s="25"/>
      <c r="AK12" s="23"/>
    </row>
    <row r="13" spans="1:37" ht="18.75" customHeight="1">
      <c r="C13" s="25"/>
      <c r="D13" s="25"/>
      <c r="E13" s="25"/>
      <c r="F13" s="25"/>
      <c r="G13" s="25"/>
      <c r="H13" s="25"/>
      <c r="I13" s="25"/>
      <c r="J13" s="25"/>
      <c r="K13" s="25"/>
      <c r="L13" s="25"/>
      <c r="M13" s="25"/>
      <c r="N13" s="25"/>
      <c r="P13" s="25"/>
      <c r="Q13" s="25"/>
      <c r="R13" s="25"/>
      <c r="S13" s="25"/>
      <c r="T13" s="25"/>
      <c r="U13" s="25"/>
      <c r="W13" s="25"/>
      <c r="X13" s="69"/>
      <c r="Y13" s="69"/>
      <c r="Z13" s="69"/>
      <c r="AA13" s="69"/>
      <c r="AB13" s="69"/>
      <c r="AC13" s="25"/>
      <c r="AE13" s="25"/>
      <c r="AF13" s="53">
        <v>30</v>
      </c>
      <c r="AG13" s="46"/>
      <c r="AH13" s="25"/>
      <c r="AI13" s="25"/>
      <c r="AK13" s="23"/>
    </row>
    <row r="14" spans="1:37" ht="15" customHeight="1">
      <c r="C14" s="25"/>
      <c r="D14" s="25"/>
      <c r="E14" s="25"/>
      <c r="F14" s="25"/>
      <c r="G14" s="25"/>
      <c r="H14" s="25"/>
      <c r="I14" s="25"/>
      <c r="J14" s="25"/>
      <c r="K14" s="25"/>
      <c r="L14" s="25"/>
      <c r="M14" s="25"/>
      <c r="N14" s="25"/>
      <c r="P14" s="25"/>
      <c r="Q14" s="25"/>
      <c r="R14" s="25"/>
      <c r="S14" s="25"/>
      <c r="T14" s="25"/>
      <c r="U14" s="25"/>
      <c r="W14" s="25"/>
      <c r="X14" s="49">
        <v>12</v>
      </c>
      <c r="Y14" s="49"/>
      <c r="Z14" s="71" t="str">
        <f>TT!$O$27</f>
        <v>Hurricane Force</v>
      </c>
      <c r="AA14" s="71"/>
      <c r="AB14" s="71"/>
      <c r="AC14" s="25"/>
      <c r="AE14" s="25"/>
      <c r="AF14" s="53"/>
      <c r="AG14" s="46"/>
      <c r="AH14" s="25"/>
      <c r="AI14" s="25"/>
    </row>
    <row r="15" spans="1:37" ht="3.75" customHeight="1">
      <c r="C15" s="25"/>
      <c r="D15" s="25"/>
      <c r="E15" s="25"/>
      <c r="F15" s="25"/>
      <c r="G15" s="25"/>
      <c r="H15" s="25"/>
      <c r="I15" s="25"/>
      <c r="J15" s="25"/>
      <c r="K15" s="25"/>
      <c r="L15" s="25"/>
      <c r="M15" s="25"/>
      <c r="N15" s="25"/>
      <c r="P15" s="25"/>
      <c r="Q15" s="25"/>
      <c r="R15" s="25"/>
      <c r="S15" s="25"/>
      <c r="T15" s="25"/>
      <c r="U15" s="25"/>
      <c r="W15" s="25"/>
      <c r="X15" s="50"/>
      <c r="Y15" s="51"/>
      <c r="Z15" s="52"/>
      <c r="AA15" s="52"/>
      <c r="AB15" s="52"/>
      <c r="AC15" s="25"/>
      <c r="AE15" s="25"/>
      <c r="AF15" s="68">
        <v>25</v>
      </c>
      <c r="AG15" s="46"/>
      <c r="AH15" s="25"/>
      <c r="AI15" s="25"/>
    </row>
    <row r="16" spans="1:37" ht="15" customHeight="1">
      <c r="C16" s="25"/>
      <c r="D16" s="25"/>
      <c r="E16" s="25"/>
      <c r="F16" s="25"/>
      <c r="G16" s="25"/>
      <c r="H16" s="25"/>
      <c r="I16" s="25"/>
      <c r="J16" s="25"/>
      <c r="K16" s="25"/>
      <c r="L16" s="25"/>
      <c r="M16" s="25"/>
      <c r="N16" s="25"/>
      <c r="P16" s="25"/>
      <c r="Q16" s="25"/>
      <c r="R16" s="25"/>
      <c r="S16" s="25"/>
      <c r="T16" s="25"/>
      <c r="U16" s="25"/>
      <c r="W16" s="25"/>
      <c r="X16" s="50">
        <v>11</v>
      </c>
      <c r="Y16" s="51"/>
      <c r="Z16" s="72" t="str">
        <f>TT!$O$26</f>
        <v>Violent Storm</v>
      </c>
      <c r="AA16" s="72"/>
      <c r="AB16" s="72"/>
      <c r="AC16" s="25"/>
      <c r="AE16" s="25"/>
      <c r="AF16" s="68"/>
      <c r="AG16" s="46"/>
      <c r="AH16" s="25"/>
      <c r="AI16" s="25"/>
    </row>
    <row r="17" spans="3:35" ht="3.75" customHeight="1">
      <c r="C17" s="25"/>
      <c r="D17" s="25"/>
      <c r="E17" s="25"/>
      <c r="F17" s="25"/>
      <c r="G17" s="25"/>
      <c r="H17" s="25"/>
      <c r="I17" s="25"/>
      <c r="J17" s="25"/>
      <c r="K17" s="25"/>
      <c r="L17" s="25"/>
      <c r="M17" s="25"/>
      <c r="N17" s="25"/>
      <c r="P17" s="25"/>
      <c r="Q17" s="25"/>
      <c r="R17" s="25"/>
      <c r="S17" s="25"/>
      <c r="T17" s="25"/>
      <c r="U17" s="25"/>
      <c r="W17" s="25"/>
      <c r="X17" s="50">
        <v>10</v>
      </c>
      <c r="Y17" s="51"/>
      <c r="Z17" s="52">
        <v>10</v>
      </c>
      <c r="AA17" s="52"/>
      <c r="AB17" s="52"/>
      <c r="AC17" s="25"/>
      <c r="AE17" s="25"/>
      <c r="AF17" s="53"/>
      <c r="AG17" s="46"/>
      <c r="AH17" s="25"/>
      <c r="AI17" s="25"/>
    </row>
    <row r="18" spans="3:35" ht="11.25" customHeight="1">
      <c r="C18" s="25"/>
      <c r="D18" s="25"/>
      <c r="E18" s="25"/>
      <c r="F18" s="25"/>
      <c r="G18" s="25"/>
      <c r="H18" s="25"/>
      <c r="I18" s="25"/>
      <c r="J18" s="25"/>
      <c r="K18" s="25"/>
      <c r="L18" s="25"/>
      <c r="M18" s="25"/>
      <c r="N18" s="25"/>
      <c r="P18" s="25"/>
      <c r="Q18" s="25"/>
      <c r="R18" s="25"/>
      <c r="S18" s="25"/>
      <c r="T18" s="25"/>
      <c r="U18" s="25"/>
      <c r="W18" s="25"/>
      <c r="X18" s="73">
        <v>10</v>
      </c>
      <c r="Y18" s="51"/>
      <c r="Z18" s="72" t="str">
        <f>TT!$O$25</f>
        <v>Storm</v>
      </c>
      <c r="AA18" s="72"/>
      <c r="AB18" s="72"/>
      <c r="AC18" s="25"/>
      <c r="AE18" s="25"/>
      <c r="AF18" s="53"/>
      <c r="AG18" s="46"/>
      <c r="AH18" s="25"/>
      <c r="AI18" s="25"/>
    </row>
    <row r="19" spans="3:35" ht="3.75" customHeight="1">
      <c r="C19" s="25"/>
      <c r="D19" s="25"/>
      <c r="E19" s="25"/>
      <c r="F19" s="25"/>
      <c r="G19" s="25"/>
      <c r="H19" s="25"/>
      <c r="I19" s="25"/>
      <c r="J19" s="25"/>
      <c r="K19" s="25"/>
      <c r="L19" s="25"/>
      <c r="M19" s="25"/>
      <c r="N19" s="25"/>
      <c r="P19" s="25"/>
      <c r="Q19" s="25"/>
      <c r="R19" s="25"/>
      <c r="S19" s="25"/>
      <c r="T19" s="25"/>
      <c r="U19" s="25"/>
      <c r="W19" s="25"/>
      <c r="X19" s="73"/>
      <c r="Y19" s="51"/>
      <c r="Z19" s="72"/>
      <c r="AA19" s="72"/>
      <c r="AB19" s="72"/>
      <c r="AC19" s="25"/>
      <c r="AE19" s="25"/>
      <c r="AF19" s="68">
        <v>20</v>
      </c>
      <c r="AG19" s="46"/>
      <c r="AH19" s="25"/>
      <c r="AI19" s="25"/>
    </row>
    <row r="20" spans="3:35" ht="3.75" customHeight="1">
      <c r="C20" s="25"/>
      <c r="D20" s="25"/>
      <c r="E20" s="25"/>
      <c r="F20" s="25"/>
      <c r="G20" s="25"/>
      <c r="H20" s="25"/>
      <c r="I20" s="25"/>
      <c r="J20" s="25"/>
      <c r="K20" s="25"/>
      <c r="L20" s="25"/>
      <c r="M20" s="25"/>
      <c r="N20" s="25"/>
      <c r="P20" s="25"/>
      <c r="Q20" s="25"/>
      <c r="R20" s="25"/>
      <c r="S20" s="25"/>
      <c r="T20" s="25"/>
      <c r="U20" s="25"/>
      <c r="W20" s="25"/>
      <c r="X20" s="50"/>
      <c r="Y20" s="51"/>
      <c r="Z20" s="52"/>
      <c r="AA20" s="52"/>
      <c r="AB20" s="52"/>
      <c r="AC20" s="25"/>
      <c r="AE20" s="25"/>
      <c r="AF20" s="68"/>
      <c r="AG20" s="46"/>
      <c r="AH20" s="25"/>
      <c r="AI20" s="25"/>
    </row>
    <row r="21" spans="3:35" ht="11.25" customHeight="1">
      <c r="C21" s="25"/>
      <c r="D21" s="25"/>
      <c r="E21" s="25"/>
      <c r="F21" s="25"/>
      <c r="G21" s="25"/>
      <c r="H21" s="25"/>
      <c r="I21" s="25"/>
      <c r="J21" s="25"/>
      <c r="K21" s="25"/>
      <c r="L21" s="25"/>
      <c r="M21" s="25"/>
      <c r="N21" s="25"/>
      <c r="P21" s="25"/>
      <c r="Q21" s="25"/>
      <c r="R21" s="25"/>
      <c r="S21" s="25"/>
      <c r="T21" s="25"/>
      <c r="U21" s="25"/>
      <c r="W21" s="25"/>
      <c r="X21" s="73">
        <v>9</v>
      </c>
      <c r="Y21" s="51"/>
      <c r="Z21" s="72" t="str">
        <f>TT!$O$24</f>
        <v>Strong Gale</v>
      </c>
      <c r="AA21" s="72"/>
      <c r="AB21" s="72"/>
      <c r="AC21" s="25"/>
      <c r="AE21" s="25"/>
      <c r="AF21" s="68"/>
      <c r="AG21" s="46"/>
      <c r="AH21" s="25"/>
      <c r="AI21" s="25"/>
    </row>
    <row r="22" spans="3:35" ht="3.75" customHeight="1">
      <c r="C22" s="25"/>
      <c r="D22" s="25"/>
      <c r="E22" s="25"/>
      <c r="F22" s="25"/>
      <c r="G22" s="25"/>
      <c r="H22" s="25"/>
      <c r="I22" s="25"/>
      <c r="J22" s="25"/>
      <c r="K22" s="25"/>
      <c r="L22" s="25"/>
      <c r="M22" s="25"/>
      <c r="N22" s="25"/>
      <c r="P22" s="25"/>
      <c r="Q22" s="25"/>
      <c r="R22" s="25"/>
      <c r="S22" s="25"/>
      <c r="T22" s="25"/>
      <c r="U22" s="25"/>
      <c r="W22" s="25"/>
      <c r="X22" s="73"/>
      <c r="Y22" s="51"/>
      <c r="Z22" s="72"/>
      <c r="AA22" s="72"/>
      <c r="AB22" s="72"/>
      <c r="AC22" s="25"/>
      <c r="AE22" s="25"/>
      <c r="AF22" s="53"/>
      <c r="AG22" s="46"/>
      <c r="AH22" s="25"/>
      <c r="AI22" s="25"/>
    </row>
    <row r="23" spans="3:35" ht="3.75" customHeight="1">
      <c r="C23" s="25"/>
      <c r="D23" s="25"/>
      <c r="E23" s="25"/>
      <c r="F23" s="25"/>
      <c r="G23" s="25"/>
      <c r="H23" s="25"/>
      <c r="I23" s="25"/>
      <c r="J23" s="25"/>
      <c r="K23" s="25"/>
      <c r="L23" s="25"/>
      <c r="M23" s="25"/>
      <c r="N23" s="25"/>
      <c r="P23" s="25"/>
      <c r="Q23" s="25"/>
      <c r="R23" s="25"/>
      <c r="S23" s="25"/>
      <c r="T23" s="25"/>
      <c r="U23" s="25"/>
      <c r="W23" s="25"/>
      <c r="X23" s="50"/>
      <c r="Y23" s="51"/>
      <c r="Z23" s="52"/>
      <c r="AA23" s="52"/>
      <c r="AB23" s="52"/>
      <c r="AC23" s="25"/>
      <c r="AE23" s="25"/>
      <c r="AF23" s="53"/>
      <c r="AG23" s="46"/>
      <c r="AH23" s="25"/>
      <c r="AI23" s="25"/>
    </row>
    <row r="24" spans="3:35" ht="7.5" customHeight="1">
      <c r="C24" s="25"/>
      <c r="D24" s="25"/>
      <c r="E24" s="25"/>
      <c r="F24" s="25"/>
      <c r="G24" s="25"/>
      <c r="H24" s="25"/>
      <c r="I24" s="25"/>
      <c r="J24" s="25"/>
      <c r="K24" s="25"/>
      <c r="L24" s="25"/>
      <c r="M24" s="25"/>
      <c r="N24" s="25"/>
      <c r="P24" s="25"/>
      <c r="Q24" s="25"/>
      <c r="R24" s="25"/>
      <c r="S24" s="25"/>
      <c r="T24" s="25"/>
      <c r="U24" s="25"/>
      <c r="W24" s="25"/>
      <c r="X24" s="73">
        <v>8</v>
      </c>
      <c r="Y24" s="51"/>
      <c r="Z24" s="72" t="str">
        <f>TT!$O$23</f>
        <v>Gale</v>
      </c>
      <c r="AA24" s="72"/>
      <c r="AB24" s="72"/>
      <c r="AC24" s="25"/>
      <c r="AE24" s="25"/>
      <c r="AF24" s="53"/>
      <c r="AG24" s="46"/>
      <c r="AH24" s="25"/>
      <c r="AI24" s="25"/>
    </row>
    <row r="25" spans="3:35" ht="7.5" customHeight="1">
      <c r="C25" s="25"/>
      <c r="D25" s="25"/>
      <c r="E25" s="25"/>
      <c r="F25" s="25"/>
      <c r="G25" s="25"/>
      <c r="H25" s="25"/>
      <c r="I25" s="25"/>
      <c r="J25" s="25"/>
      <c r="K25" s="25"/>
      <c r="L25" s="25"/>
      <c r="M25" s="25"/>
      <c r="N25" s="25"/>
      <c r="P25" s="25"/>
      <c r="Q25" s="25"/>
      <c r="R25" s="25"/>
      <c r="S25" s="25"/>
      <c r="T25" s="25"/>
      <c r="U25" s="25"/>
      <c r="W25" s="25"/>
      <c r="X25" s="73"/>
      <c r="Y25" s="51"/>
      <c r="Z25" s="72"/>
      <c r="AA25" s="72"/>
      <c r="AB25" s="72"/>
      <c r="AC25" s="25"/>
      <c r="AE25" s="25"/>
      <c r="AF25" s="68">
        <v>15</v>
      </c>
      <c r="AG25" s="46"/>
      <c r="AH25" s="25"/>
      <c r="AI25" s="25"/>
    </row>
    <row r="26" spans="3:35" ht="3.75" customHeight="1">
      <c r="C26" s="25"/>
      <c r="D26" s="25"/>
      <c r="E26" s="25"/>
      <c r="F26" s="25"/>
      <c r="G26" s="25"/>
      <c r="H26" s="25"/>
      <c r="I26" s="25"/>
      <c r="J26" s="25"/>
      <c r="K26" s="25"/>
      <c r="L26" s="25"/>
      <c r="M26" s="25"/>
      <c r="N26" s="25"/>
      <c r="P26" s="25"/>
      <c r="Q26" s="25"/>
      <c r="R26" s="25"/>
      <c r="S26" s="25"/>
      <c r="T26" s="25"/>
      <c r="U26" s="25"/>
      <c r="W26" s="25"/>
      <c r="X26" s="50"/>
      <c r="Y26" s="51"/>
      <c r="Z26" s="52"/>
      <c r="AA26" s="52"/>
      <c r="AB26" s="52"/>
      <c r="AC26" s="25"/>
      <c r="AE26" s="25"/>
      <c r="AF26" s="68"/>
      <c r="AG26" s="46"/>
      <c r="AH26" s="25"/>
      <c r="AI26" s="25"/>
    </row>
    <row r="27" spans="3:35" ht="7.5" customHeight="1">
      <c r="C27" s="25"/>
      <c r="D27" s="25"/>
      <c r="E27" s="25"/>
      <c r="F27" s="25"/>
      <c r="G27" s="25"/>
      <c r="H27" s="25"/>
      <c r="I27" s="25"/>
      <c r="J27" s="25"/>
      <c r="K27" s="25"/>
      <c r="L27" s="25"/>
      <c r="M27" s="25"/>
      <c r="N27" s="25"/>
      <c r="P27" s="25"/>
      <c r="Q27" s="25"/>
      <c r="R27" s="25"/>
      <c r="S27" s="25"/>
      <c r="T27" s="25"/>
      <c r="U27" s="25"/>
      <c r="W27" s="25"/>
      <c r="X27" s="73">
        <v>7</v>
      </c>
      <c r="Y27" s="51"/>
      <c r="Z27" s="72" t="str">
        <f>TT!$O$22</f>
        <v>Near Gale</v>
      </c>
      <c r="AA27" s="72"/>
      <c r="AB27" s="72"/>
      <c r="AC27" s="25"/>
      <c r="AE27" s="25"/>
      <c r="AF27" s="68"/>
      <c r="AG27" s="46"/>
      <c r="AH27" s="25"/>
      <c r="AI27" s="25"/>
    </row>
    <row r="28" spans="3:35" ht="7.5" customHeight="1">
      <c r="C28" s="25"/>
      <c r="D28" s="25"/>
      <c r="E28" s="25"/>
      <c r="F28" s="25"/>
      <c r="G28" s="25"/>
      <c r="H28" s="25"/>
      <c r="I28" s="25"/>
      <c r="J28" s="25"/>
      <c r="K28" s="25"/>
      <c r="L28" s="25"/>
      <c r="M28" s="25"/>
      <c r="N28" s="25"/>
      <c r="P28" s="25"/>
      <c r="Q28" s="25"/>
      <c r="R28" s="25"/>
      <c r="S28" s="25"/>
      <c r="T28" s="25"/>
      <c r="U28" s="25"/>
      <c r="W28" s="25"/>
      <c r="X28" s="73"/>
      <c r="Y28" s="51"/>
      <c r="Z28" s="72"/>
      <c r="AA28" s="72"/>
      <c r="AB28" s="72"/>
      <c r="AC28" s="25"/>
      <c r="AE28" s="25"/>
      <c r="AF28" s="53"/>
      <c r="AG28" s="46"/>
      <c r="AH28" s="25"/>
      <c r="AI28" s="25"/>
    </row>
    <row r="29" spans="3:35" ht="3.75" customHeight="1">
      <c r="C29" s="25"/>
      <c r="D29" s="25"/>
      <c r="E29" s="25"/>
      <c r="F29" s="25"/>
      <c r="G29" s="25"/>
      <c r="H29" s="25"/>
      <c r="I29" s="25"/>
      <c r="J29" s="25"/>
      <c r="K29" s="25"/>
      <c r="L29" s="25"/>
      <c r="M29" s="25"/>
      <c r="N29" s="25"/>
      <c r="P29" s="25"/>
      <c r="Q29" s="25"/>
      <c r="R29" s="25"/>
      <c r="S29" s="25"/>
      <c r="T29" s="25"/>
      <c r="U29" s="25"/>
      <c r="W29" s="25"/>
      <c r="X29" s="50"/>
      <c r="Y29" s="51"/>
      <c r="Z29" s="52"/>
      <c r="AA29" s="52"/>
      <c r="AB29" s="52"/>
      <c r="AC29" s="25"/>
      <c r="AE29" s="25"/>
      <c r="AF29" s="53"/>
      <c r="AG29" s="46"/>
      <c r="AH29" s="25"/>
      <c r="AI29" s="25"/>
    </row>
    <row r="30" spans="3:35" ht="3.75" customHeight="1">
      <c r="C30" s="25"/>
      <c r="D30" s="25"/>
      <c r="E30" s="25"/>
      <c r="F30" s="25"/>
      <c r="G30" s="25"/>
      <c r="H30" s="25"/>
      <c r="I30" s="25"/>
      <c r="J30" s="25"/>
      <c r="K30" s="25"/>
      <c r="L30" s="25"/>
      <c r="M30" s="25"/>
      <c r="N30" s="25"/>
      <c r="P30" s="25"/>
      <c r="Q30" s="25"/>
      <c r="R30" s="25"/>
      <c r="S30" s="25"/>
      <c r="T30" s="25"/>
      <c r="U30" s="25"/>
      <c r="W30" s="25"/>
      <c r="X30" s="73">
        <v>6</v>
      </c>
      <c r="Y30" s="51"/>
      <c r="Z30" s="72" t="str">
        <f>TT!$O$21</f>
        <v>Strong Breeze</v>
      </c>
      <c r="AA30" s="72"/>
      <c r="AB30" s="72"/>
      <c r="AC30" s="25"/>
      <c r="AE30" s="25"/>
      <c r="AF30" s="53"/>
      <c r="AG30" s="46"/>
      <c r="AH30" s="25"/>
      <c r="AI30" s="25"/>
    </row>
    <row r="31" spans="3:35" ht="3.75" customHeight="1">
      <c r="C31" s="25"/>
      <c r="D31" s="25"/>
      <c r="E31" s="25"/>
      <c r="F31" s="25"/>
      <c r="G31" s="25"/>
      <c r="H31" s="25"/>
      <c r="I31" s="25"/>
      <c r="J31" s="25"/>
      <c r="K31" s="25"/>
      <c r="L31" s="25"/>
      <c r="M31" s="25"/>
      <c r="N31" s="25"/>
      <c r="P31" s="25"/>
      <c r="Q31" s="25"/>
      <c r="R31" s="25"/>
      <c r="S31" s="25"/>
      <c r="T31" s="25"/>
      <c r="U31" s="25"/>
      <c r="W31" s="25"/>
      <c r="X31" s="73"/>
      <c r="Y31" s="51"/>
      <c r="Z31" s="72"/>
      <c r="AA31" s="72"/>
      <c r="AB31" s="72"/>
      <c r="AC31" s="25"/>
      <c r="AE31" s="25"/>
      <c r="AF31" s="68">
        <v>10</v>
      </c>
      <c r="AG31" s="46"/>
      <c r="AH31" s="25"/>
      <c r="AI31" s="25"/>
    </row>
    <row r="32" spans="3:35" ht="7.5" customHeight="1">
      <c r="C32" s="25"/>
      <c r="D32" s="25"/>
      <c r="E32" s="25"/>
      <c r="F32" s="25"/>
      <c r="G32" s="25"/>
      <c r="H32" s="25"/>
      <c r="I32" s="25"/>
      <c r="J32" s="25"/>
      <c r="K32" s="25"/>
      <c r="L32" s="25"/>
      <c r="M32" s="25"/>
      <c r="N32" s="25"/>
      <c r="W32" s="25"/>
      <c r="X32" s="73"/>
      <c r="Y32" s="51"/>
      <c r="Z32" s="72"/>
      <c r="AA32" s="72"/>
      <c r="AB32" s="72"/>
      <c r="AC32" s="25"/>
      <c r="AE32" s="25"/>
      <c r="AF32" s="68"/>
      <c r="AG32" s="46"/>
      <c r="AH32" s="25"/>
      <c r="AI32" s="25"/>
    </row>
    <row r="33" spans="3:35" ht="3.75" customHeight="1">
      <c r="C33" s="25"/>
      <c r="D33" s="25"/>
      <c r="E33" s="25"/>
      <c r="F33" s="25"/>
      <c r="G33" s="25"/>
      <c r="H33" s="25"/>
      <c r="I33" s="25"/>
      <c r="J33" s="25"/>
      <c r="K33" s="25"/>
      <c r="L33" s="25"/>
      <c r="M33" s="25"/>
      <c r="N33" s="25"/>
      <c r="W33" s="25"/>
      <c r="X33" s="50"/>
      <c r="Y33" s="51"/>
      <c r="Z33" s="52"/>
      <c r="AA33" s="52"/>
      <c r="AB33" s="52"/>
      <c r="AC33" s="25"/>
      <c r="AE33" s="25"/>
      <c r="AF33" s="68"/>
      <c r="AG33" s="46"/>
      <c r="AH33" s="25"/>
      <c r="AI33" s="25"/>
    </row>
    <row r="34" spans="3:35" ht="3.75" customHeight="1">
      <c r="C34" s="25"/>
      <c r="D34" s="25"/>
      <c r="E34" s="25"/>
      <c r="F34" s="25"/>
      <c r="G34" s="25"/>
      <c r="H34" s="25"/>
      <c r="I34" s="25"/>
      <c r="J34" s="25"/>
      <c r="K34" s="25"/>
      <c r="L34" s="25"/>
      <c r="M34" s="25"/>
      <c r="N34" s="25"/>
      <c r="P34" s="25"/>
      <c r="Q34" s="74" t="str">
        <f>TT!$O$46</f>
        <v>Revolutions per minute</v>
      </c>
      <c r="R34" s="74"/>
      <c r="S34" s="74"/>
      <c r="T34" s="74"/>
      <c r="U34" s="25"/>
      <c r="W34" s="25"/>
      <c r="X34" s="73">
        <v>5</v>
      </c>
      <c r="Y34" s="51"/>
      <c r="Z34" s="72" t="str">
        <f>TT!$O$20</f>
        <v>Fresh Breeze</v>
      </c>
      <c r="AA34" s="72"/>
      <c r="AB34" s="72"/>
      <c r="AC34" s="25"/>
      <c r="AE34" s="25"/>
      <c r="AF34" s="68"/>
      <c r="AG34" s="46"/>
      <c r="AH34" s="25"/>
      <c r="AI34" s="25"/>
    </row>
    <row r="35" spans="3:35" ht="11.25" customHeight="1">
      <c r="C35" s="25"/>
      <c r="D35" s="25"/>
      <c r="E35" s="25"/>
      <c r="F35" s="25"/>
      <c r="G35" s="25"/>
      <c r="H35" s="25"/>
      <c r="I35" s="25"/>
      <c r="J35" s="25"/>
      <c r="K35" s="25"/>
      <c r="L35" s="25"/>
      <c r="M35" s="25"/>
      <c r="N35" s="25"/>
      <c r="P35" s="25"/>
      <c r="Q35" s="74"/>
      <c r="R35" s="74"/>
      <c r="S35" s="74"/>
      <c r="T35" s="74"/>
      <c r="U35" s="25"/>
      <c r="W35" s="25"/>
      <c r="X35" s="73"/>
      <c r="Y35" s="51"/>
      <c r="Z35" s="72"/>
      <c r="AA35" s="72"/>
      <c r="AB35" s="72"/>
      <c r="AC35" s="25"/>
      <c r="AE35" s="25"/>
      <c r="AF35" s="53"/>
      <c r="AG35" s="34"/>
      <c r="AH35" s="25"/>
      <c r="AI35" s="25"/>
    </row>
    <row r="36" spans="3:35" ht="3.75" customHeight="1">
      <c r="C36" s="25"/>
      <c r="D36" s="25"/>
      <c r="E36" s="25"/>
      <c r="F36" s="25"/>
      <c r="G36" s="25"/>
      <c r="H36" s="25"/>
      <c r="I36" s="25"/>
      <c r="J36" s="25"/>
      <c r="K36" s="25"/>
      <c r="L36" s="25"/>
      <c r="M36" s="25"/>
      <c r="N36" s="25"/>
      <c r="P36" s="28"/>
      <c r="Q36" s="74"/>
      <c r="R36" s="74"/>
      <c r="S36" s="74"/>
      <c r="T36" s="74"/>
      <c r="U36" s="28"/>
      <c r="W36" s="25"/>
      <c r="X36" s="50"/>
      <c r="Y36" s="51"/>
      <c r="Z36" s="52"/>
      <c r="AA36" s="52"/>
      <c r="AB36" s="52"/>
      <c r="AC36" s="25"/>
      <c r="AE36" s="25"/>
      <c r="AF36" s="53"/>
      <c r="AG36" s="34"/>
      <c r="AH36" s="25"/>
      <c r="AI36" s="25"/>
    </row>
    <row r="37" spans="3:35" ht="7.5" customHeight="1" thickBot="1">
      <c r="C37" s="25"/>
      <c r="D37" s="25"/>
      <c r="E37" s="25"/>
      <c r="F37" s="25"/>
      <c r="G37" s="25"/>
      <c r="H37" s="25"/>
      <c r="I37" s="25"/>
      <c r="J37" s="25"/>
      <c r="K37" s="25"/>
      <c r="L37" s="25"/>
      <c r="M37" s="25"/>
      <c r="N37" s="25"/>
      <c r="P37" s="27"/>
      <c r="Q37" s="67"/>
      <c r="R37" s="67"/>
      <c r="S37" s="67"/>
      <c r="T37" s="67"/>
      <c r="U37" s="27"/>
      <c r="W37" s="25"/>
      <c r="X37" s="73">
        <v>4</v>
      </c>
      <c r="Y37" s="51"/>
      <c r="Z37" s="72" t="str">
        <f>TT!$O$19</f>
        <v>Moderate Breeze</v>
      </c>
      <c r="AA37" s="72"/>
      <c r="AB37" s="72"/>
      <c r="AC37" s="25"/>
      <c r="AE37" s="25"/>
      <c r="AF37" s="68">
        <v>5</v>
      </c>
      <c r="AG37" s="46"/>
      <c r="AH37" s="25"/>
      <c r="AI37" s="25"/>
    </row>
    <row r="38" spans="3:35" ht="7.5" customHeight="1">
      <c r="C38" s="25"/>
      <c r="D38" s="25"/>
      <c r="E38" s="25"/>
      <c r="F38" s="25"/>
      <c r="G38" s="25"/>
      <c r="H38" s="25"/>
      <c r="I38" s="25"/>
      <c r="J38" s="25"/>
      <c r="K38" s="25"/>
      <c r="L38" s="25"/>
      <c r="M38" s="25"/>
      <c r="N38" s="25"/>
      <c r="P38" s="25"/>
      <c r="Q38" s="25"/>
      <c r="R38" s="25"/>
      <c r="S38" s="25"/>
      <c r="T38" s="25"/>
      <c r="U38" s="25"/>
      <c r="W38" s="25"/>
      <c r="X38" s="73"/>
      <c r="Y38" s="51"/>
      <c r="Z38" s="72"/>
      <c r="AA38" s="72"/>
      <c r="AB38" s="72"/>
      <c r="AC38" s="25"/>
      <c r="AE38" s="25"/>
      <c r="AF38" s="68"/>
      <c r="AG38" s="46"/>
      <c r="AH38" s="25"/>
      <c r="AI38" s="25"/>
    </row>
    <row r="39" spans="3:35" ht="3.75" customHeight="1">
      <c r="C39" s="25"/>
      <c r="D39" s="25"/>
      <c r="E39" s="25"/>
      <c r="F39" s="25"/>
      <c r="G39" s="25"/>
      <c r="H39" s="25"/>
      <c r="I39" s="25"/>
      <c r="J39" s="25"/>
      <c r="K39" s="25"/>
      <c r="L39" s="25"/>
      <c r="M39" s="25"/>
      <c r="N39" s="25"/>
      <c r="P39" s="25"/>
      <c r="Q39" s="25"/>
      <c r="R39" s="25"/>
      <c r="S39" s="25"/>
      <c r="T39" s="25"/>
      <c r="U39" s="25"/>
      <c r="W39" s="25"/>
      <c r="X39" s="50"/>
      <c r="Y39" s="51"/>
      <c r="Z39" s="52"/>
      <c r="AA39" s="52"/>
      <c r="AB39" s="52"/>
      <c r="AC39" s="25"/>
      <c r="AE39" s="25"/>
      <c r="AF39" s="68"/>
      <c r="AG39" s="46"/>
      <c r="AH39" s="25"/>
      <c r="AI39" s="25"/>
    </row>
    <row r="40" spans="3:35" ht="15" customHeight="1">
      <c r="C40" s="25"/>
      <c r="D40" s="25"/>
      <c r="E40" s="25"/>
      <c r="F40" s="25"/>
      <c r="G40" s="25"/>
      <c r="H40" s="25"/>
      <c r="I40" s="25"/>
      <c r="J40" s="25"/>
      <c r="K40" s="25"/>
      <c r="L40" s="25"/>
      <c r="M40" s="25"/>
      <c r="N40" s="25"/>
      <c r="P40" s="25"/>
      <c r="Q40" s="77">
        <f>RPM</f>
        <v>178</v>
      </c>
      <c r="R40" s="77"/>
      <c r="S40" s="77"/>
      <c r="T40" s="77"/>
      <c r="U40" s="25"/>
      <c r="W40" s="25"/>
      <c r="X40" s="49">
        <v>3</v>
      </c>
      <c r="Y40" s="49"/>
      <c r="Z40" s="71" t="str">
        <f>TT!$O$18</f>
        <v>Gentle Breeze</v>
      </c>
      <c r="AA40" s="71"/>
      <c r="AB40" s="71"/>
      <c r="AC40" s="25"/>
      <c r="AE40" s="25"/>
      <c r="AF40" s="53"/>
      <c r="AG40" s="46"/>
      <c r="AH40" s="25"/>
      <c r="AI40" s="25"/>
    </row>
    <row r="41" spans="3:35" ht="3.75" customHeight="1">
      <c r="C41" s="25"/>
      <c r="D41" s="25"/>
      <c r="E41" s="25"/>
      <c r="F41" s="25"/>
      <c r="G41" s="25"/>
      <c r="H41" s="25"/>
      <c r="I41" s="25"/>
      <c r="J41" s="25"/>
      <c r="K41" s="25"/>
      <c r="L41" s="25"/>
      <c r="M41" s="25"/>
      <c r="N41" s="25"/>
      <c r="P41" s="25"/>
      <c r="Q41" s="77"/>
      <c r="R41" s="77"/>
      <c r="S41" s="77"/>
      <c r="T41" s="77"/>
      <c r="U41" s="25"/>
      <c r="W41" s="25"/>
      <c r="X41" s="50"/>
      <c r="Y41" s="51"/>
      <c r="Z41" s="52"/>
      <c r="AA41" s="52"/>
      <c r="AB41" s="52"/>
      <c r="AC41" s="25"/>
      <c r="AE41" s="25"/>
      <c r="AF41" s="68">
        <v>0</v>
      </c>
      <c r="AG41" s="46"/>
      <c r="AH41" s="25"/>
      <c r="AI41" s="25"/>
    </row>
    <row r="42" spans="3:35" ht="15" customHeight="1">
      <c r="C42" s="25"/>
      <c r="D42" s="25"/>
      <c r="E42" s="25"/>
      <c r="F42" s="25"/>
      <c r="G42" s="25"/>
      <c r="H42" s="25"/>
      <c r="I42" s="25"/>
      <c r="J42" s="25"/>
      <c r="K42" s="25"/>
      <c r="L42" s="25"/>
      <c r="M42" s="25"/>
      <c r="N42" s="25"/>
      <c r="P42" s="25"/>
      <c r="Q42" s="77"/>
      <c r="R42" s="77"/>
      <c r="S42" s="77"/>
      <c r="T42" s="77"/>
      <c r="U42" s="25"/>
      <c r="W42" s="25"/>
      <c r="X42" s="50">
        <v>2</v>
      </c>
      <c r="Y42" s="51"/>
      <c r="Z42" s="72" t="str">
        <f>TT!$O$17</f>
        <v>Light Breeze</v>
      </c>
      <c r="AA42" s="72"/>
      <c r="AB42" s="72"/>
      <c r="AC42" s="25"/>
      <c r="AE42" s="25"/>
      <c r="AF42" s="68"/>
      <c r="AG42" s="46"/>
      <c r="AH42" s="25"/>
      <c r="AI42" s="25"/>
    </row>
    <row r="43" spans="3:35" ht="3.75" customHeight="1">
      <c r="C43" s="25"/>
      <c r="D43" s="25"/>
      <c r="E43" s="25"/>
      <c r="F43" s="25"/>
      <c r="G43" s="25"/>
      <c r="H43" s="25"/>
      <c r="I43" s="25"/>
      <c r="J43" s="25"/>
      <c r="K43" s="25"/>
      <c r="L43" s="25"/>
      <c r="M43" s="25"/>
      <c r="N43" s="25"/>
      <c r="P43" s="25"/>
      <c r="Q43" s="77"/>
      <c r="R43" s="77"/>
      <c r="S43" s="77"/>
      <c r="T43" s="77"/>
      <c r="U43" s="25"/>
      <c r="W43" s="25"/>
      <c r="X43" s="50"/>
      <c r="Y43" s="51"/>
      <c r="Z43" s="52"/>
      <c r="AA43" s="52"/>
      <c r="AB43" s="52"/>
      <c r="AC43" s="25"/>
      <c r="AE43" s="25"/>
      <c r="AF43" s="34"/>
      <c r="AG43" s="46"/>
      <c r="AH43" s="25"/>
      <c r="AI43" s="25"/>
    </row>
    <row r="44" spans="3:35" ht="15" customHeight="1">
      <c r="C44" s="25"/>
      <c r="D44" s="87" t="str">
        <f>CityName</f>
        <v>Seattle, USA</v>
      </c>
      <c r="E44" s="87"/>
      <c r="F44" s="87"/>
      <c r="G44" s="87"/>
      <c r="H44" s="87"/>
      <c r="I44" s="87"/>
      <c r="J44" s="25"/>
      <c r="K44" s="25"/>
      <c r="L44" s="25"/>
      <c r="M44" s="25"/>
      <c r="N44" s="25"/>
      <c r="P44" s="25"/>
      <c r="Q44" s="77"/>
      <c r="R44" s="77"/>
      <c r="S44" s="77"/>
      <c r="T44" s="77"/>
      <c r="U44" s="25"/>
      <c r="W44" s="25"/>
      <c r="X44" s="50">
        <v>1</v>
      </c>
      <c r="Y44" s="51"/>
      <c r="Z44" s="72" t="str">
        <f>TT!$O$16</f>
        <v>Light Air</v>
      </c>
      <c r="AA44" s="72"/>
      <c r="AB44" s="72"/>
      <c r="AC44" s="25"/>
      <c r="AE44" s="25"/>
      <c r="AF44" s="70">
        <f>TempVal_C</f>
        <v>15.555555555555555</v>
      </c>
      <c r="AG44" s="70"/>
      <c r="AH44" s="70"/>
      <c r="AI44" s="25"/>
    </row>
    <row r="45" spans="3:35" ht="3.75" customHeight="1">
      <c r="C45" s="25"/>
      <c r="D45" s="87"/>
      <c r="E45" s="87"/>
      <c r="F45" s="87"/>
      <c r="G45" s="87"/>
      <c r="H45" s="87"/>
      <c r="I45" s="87"/>
      <c r="J45" s="25"/>
      <c r="K45" s="25"/>
      <c r="L45" s="25"/>
      <c r="M45" s="25"/>
      <c r="N45" s="25"/>
      <c r="P45" s="25"/>
      <c r="Q45" s="75" t="str">
        <f>TT!O47</f>
        <v>RPM</v>
      </c>
      <c r="R45" s="75"/>
      <c r="S45" s="75"/>
      <c r="T45" s="75"/>
      <c r="U45" s="25"/>
      <c r="W45" s="25"/>
      <c r="X45" s="50"/>
      <c r="Y45" s="51"/>
      <c r="Z45" s="52"/>
      <c r="AA45" s="52"/>
      <c r="AB45" s="52"/>
      <c r="AC45" s="25"/>
      <c r="AE45" s="25"/>
      <c r="AF45" s="70"/>
      <c r="AG45" s="70"/>
      <c r="AH45" s="70"/>
      <c r="AI45" s="25"/>
    </row>
    <row r="46" spans="3:35" ht="15" customHeight="1">
      <c r="C46" s="25"/>
      <c r="D46" s="87"/>
      <c r="E46" s="87"/>
      <c r="F46" s="87"/>
      <c r="G46" s="87"/>
      <c r="H46" s="87"/>
      <c r="I46" s="87"/>
      <c r="J46" s="29"/>
      <c r="K46" s="56" t="str">
        <f>IF(WindSimToggle=1,"☒","☐")</f>
        <v>☒</v>
      </c>
      <c r="L46" s="76" t="str">
        <f>TT!$O$11</f>
        <v>Wind simulator</v>
      </c>
      <c r="M46" s="76"/>
      <c r="N46" s="25"/>
      <c r="P46" s="25"/>
      <c r="Q46" s="75"/>
      <c r="R46" s="75"/>
      <c r="S46" s="75"/>
      <c r="T46" s="75"/>
      <c r="U46" s="25"/>
      <c r="W46" s="25"/>
      <c r="X46" s="50">
        <v>0</v>
      </c>
      <c r="Y46" s="51"/>
      <c r="Z46" s="72" t="str">
        <f>TT!$O$15</f>
        <v>Calm</v>
      </c>
      <c r="AA46" s="72"/>
      <c r="AB46" s="72"/>
      <c r="AC46" s="25"/>
      <c r="AE46" s="25"/>
      <c r="AF46" s="70"/>
      <c r="AG46" s="70"/>
      <c r="AH46" s="70"/>
      <c r="AI46" s="25"/>
    </row>
    <row r="47" spans="3:35" ht="11.25" customHeight="1">
      <c r="C47" s="25"/>
      <c r="D47" s="25"/>
      <c r="E47" s="25"/>
      <c r="F47" s="25"/>
      <c r="G47" s="25"/>
      <c r="H47" s="25"/>
      <c r="I47" s="25"/>
      <c r="J47" s="25"/>
      <c r="K47" s="25"/>
      <c r="L47" s="25"/>
      <c r="M47" s="25"/>
      <c r="N47" s="25"/>
      <c r="P47" s="25"/>
      <c r="Q47" s="25"/>
      <c r="R47" s="25"/>
      <c r="S47" s="25"/>
      <c r="T47" s="25"/>
      <c r="U47" s="25"/>
      <c r="W47" s="25"/>
      <c r="X47" s="32"/>
      <c r="Y47" s="25"/>
      <c r="Z47" s="25"/>
      <c r="AA47" s="25"/>
      <c r="AB47" s="25"/>
      <c r="AC47" s="25"/>
      <c r="AE47" s="25"/>
      <c r="AF47" s="25"/>
      <c r="AG47" s="25"/>
      <c r="AH47" s="25"/>
      <c r="AI47" s="25"/>
    </row>
    <row r="48" spans="3:35" ht="10.5" customHeight="1"/>
    <row r="49" spans="4:24" ht="22.5" customHeight="1">
      <c r="D49" s="23"/>
      <c r="X49" s="22"/>
    </row>
  </sheetData>
  <sheetProtection sheet="1" objects="1" scenarios="1"/>
  <protectedRanges>
    <protectedRange sqref="G4" name="Range1_2"/>
    <protectedRange sqref="E8:G8" name="Range1"/>
  </protectedRanges>
  <mergeCells count="42">
    <mergeCell ref="Q34:T37"/>
    <mergeCell ref="Q45:T46"/>
    <mergeCell ref="L46:M46"/>
    <mergeCell ref="Z40:AB40"/>
    <mergeCell ref="Z42:AB42"/>
    <mergeCell ref="Z44:AB44"/>
    <mergeCell ref="Z46:AB46"/>
    <mergeCell ref="Z37:AB38"/>
    <mergeCell ref="X37:X38"/>
    <mergeCell ref="Q40:T44"/>
    <mergeCell ref="X21:X22"/>
    <mergeCell ref="X24:X25"/>
    <mergeCell ref="X30:X32"/>
    <mergeCell ref="X34:X35"/>
    <mergeCell ref="X18:X19"/>
    <mergeCell ref="X27:X28"/>
    <mergeCell ref="AF41:AF42"/>
    <mergeCell ref="AF44:AH46"/>
    <mergeCell ref="Z14:AB14"/>
    <mergeCell ref="Z16:AB16"/>
    <mergeCell ref="AF19:AF21"/>
    <mergeCell ref="AF15:AF16"/>
    <mergeCell ref="AF25:AF27"/>
    <mergeCell ref="AF31:AF34"/>
    <mergeCell ref="AF37:AF39"/>
    <mergeCell ref="Z21:AB22"/>
    <mergeCell ref="Z24:AB25"/>
    <mergeCell ref="Z27:AB28"/>
    <mergeCell ref="Z30:AB32"/>
    <mergeCell ref="Z34:AB35"/>
    <mergeCell ref="Z18:AB19"/>
    <mergeCell ref="AF6:AH6"/>
    <mergeCell ref="X6:AB6"/>
    <mergeCell ref="Q6:T6"/>
    <mergeCell ref="AF10:AF11"/>
    <mergeCell ref="X11:AB13"/>
    <mergeCell ref="C4:F4"/>
    <mergeCell ref="G4:I4"/>
    <mergeCell ref="C2:I2"/>
    <mergeCell ref="D44:I46"/>
    <mergeCell ref="D6:M6"/>
    <mergeCell ref="E8:G8"/>
  </mergeCells>
  <conditionalFormatting sqref="X14:AB46">
    <cfRule type="expression" dxfId="18" priority="1">
      <formula>$X14=BeaufortVal</formula>
    </cfRule>
  </conditionalFormatting>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A74F533-E104-4BFE-83E3-DD7903F31818}">
          <x14:formula1>
            <xm:f>Backend!$F$3:$F$14</xm:f>
          </x14:formula1>
          <xm:sqref>E8:G8</xm:sqref>
        </x14:dataValidation>
        <x14:dataValidation type="list" allowBlank="1" showInputMessage="1" showErrorMessage="1" xr:uid="{DC0EF79B-F0B0-4736-881C-A96968237A4B}">
          <x14:formula1>
            <xm:f>TT!$S$5:$S$6</xm:f>
          </x14:formula1>
          <xm:sqref>G4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8F658-2951-4F46-A578-3218F307F9FE}">
  <sheetPr codeName="Sheet2"/>
  <dimension ref="B1:AP45"/>
  <sheetViews>
    <sheetView workbookViewId="0">
      <selection activeCell="C17" sqref="C17"/>
    </sheetView>
  </sheetViews>
  <sheetFormatPr defaultColWidth="7.5" defaultRowHeight="16.5" outlineLevelCol="1"/>
  <cols>
    <col min="1" max="1" width="3.75" customWidth="1"/>
    <col min="2" max="2" width="28.875" bestFit="1" customWidth="1"/>
    <col min="3" max="3" width="15.375" bestFit="1" customWidth="1"/>
    <col min="5" max="5" width="22.25" customWidth="1" outlineLevel="1"/>
    <col min="6" max="8" width="15.375" customWidth="1" outlineLevel="1"/>
    <col min="9" max="9" width="10.5" customWidth="1" outlineLevel="1"/>
    <col min="10" max="11" width="16" customWidth="1" outlineLevel="1"/>
    <col min="12" max="12" width="13" customWidth="1" outlineLevel="1"/>
    <col min="13" max="13" width="14.5" customWidth="1" outlineLevel="1"/>
    <col min="14" max="14" width="13.5" customWidth="1" outlineLevel="1"/>
    <col min="16" max="21" width="14" customWidth="1" outlineLevel="1"/>
    <col min="22" max="22" width="11.875" customWidth="1" outlineLevel="1"/>
    <col min="23" max="23" width="13.125" customWidth="1" outlineLevel="1"/>
    <col min="24" max="27" width="7.5" customWidth="1" outlineLevel="1"/>
    <col min="29" max="29" width="15" customWidth="1"/>
    <col min="30" max="31" width="12.75" customWidth="1"/>
    <col min="39" max="40" width="7.875" customWidth="1"/>
  </cols>
  <sheetData>
    <row r="1" spans="2:42">
      <c r="G1">
        <v>5.4</v>
      </c>
      <c r="H1">
        <v>3.14</v>
      </c>
    </row>
    <row r="2" spans="2:42">
      <c r="E2" t="s">
        <v>135</v>
      </c>
      <c r="F2" t="s">
        <v>136</v>
      </c>
      <c r="G2" t="s">
        <v>137</v>
      </c>
      <c r="H2" t="s">
        <v>138</v>
      </c>
      <c r="I2" t="s">
        <v>139</v>
      </c>
      <c r="J2" t="s">
        <v>140</v>
      </c>
      <c r="K2" t="s">
        <v>141</v>
      </c>
      <c r="L2" t="s">
        <v>142</v>
      </c>
      <c r="M2" t="s">
        <v>27</v>
      </c>
      <c r="N2" t="s">
        <v>71</v>
      </c>
      <c r="P2" t="s">
        <v>0</v>
      </c>
      <c r="Q2" t="s">
        <v>141</v>
      </c>
      <c r="R2" t="s">
        <v>143</v>
      </c>
      <c r="S2" t="s">
        <v>144</v>
      </c>
      <c r="T2" t="s">
        <v>145</v>
      </c>
      <c r="U2" t="s">
        <v>146</v>
      </c>
      <c r="V2" t="s">
        <v>147</v>
      </c>
      <c r="W2" t="s">
        <v>148</v>
      </c>
      <c r="X2" t="s">
        <v>149</v>
      </c>
      <c r="Y2" t="s">
        <v>150</v>
      </c>
      <c r="Z2" t="s">
        <v>151</v>
      </c>
      <c r="AA2" t="s">
        <v>152</v>
      </c>
      <c r="AC2" t="s">
        <v>153</v>
      </c>
      <c r="AD2" t="s">
        <v>154</v>
      </c>
      <c r="AE2" t="s">
        <v>143</v>
      </c>
      <c r="AF2" t="s">
        <v>155</v>
      </c>
      <c r="AG2" t="s">
        <v>156</v>
      </c>
      <c r="AH2" t="s">
        <v>157</v>
      </c>
      <c r="AI2" t="s">
        <v>158</v>
      </c>
      <c r="AK2" t="s">
        <v>0</v>
      </c>
      <c r="AL2" t="s">
        <v>158</v>
      </c>
      <c r="AM2" t="s">
        <v>159</v>
      </c>
      <c r="AN2" t="s">
        <v>160</v>
      </c>
      <c r="AO2" t="s">
        <v>137</v>
      </c>
      <c r="AP2" t="s">
        <v>138</v>
      </c>
    </row>
    <row r="3" spans="2:42">
      <c r="B3" t="s">
        <v>161</v>
      </c>
      <c r="C3">
        <f>IFERROR(MATCH(CitySel,Tbl_CityLookup[CityTranslated],0),1)</f>
        <v>2</v>
      </c>
      <c r="E3" t="s">
        <v>77</v>
      </c>
      <c r="F3" t="str">
        <f>TT!$O33</f>
        <v>My Device</v>
      </c>
      <c r="G3">
        <v>-1</v>
      </c>
      <c r="H3">
        <v>0</v>
      </c>
      <c r="I3">
        <f>ROW()-ROW(Tbl_CityLookup[#Headers])</f>
        <v>1</v>
      </c>
      <c r="J3" t="s">
        <v>162</v>
      </c>
      <c r="K3" t="s">
        <v>163</v>
      </c>
      <c r="L3" t="str">
        <f>IF(LocNum=1,"Experiment Time: "&amp;TEXT('Data In'!$A$5,"mm:ss.000"),"Data In value")</f>
        <v>Data In value</v>
      </c>
      <c r="M3">
        <f>'Data In'!$E$5</f>
        <v>0</v>
      </c>
      <c r="N3">
        <f>'Data In'!$B$5</f>
        <v>0</v>
      </c>
      <c r="P3">
        <f>ROW()-ROW(Tbl_QueryParsing[#Headers])</f>
        <v>1</v>
      </c>
      <c r="Q3" t="s">
        <v>143</v>
      </c>
      <c r="R3" t="s">
        <v>164</v>
      </c>
      <c r="U3">
        <f>IF(Tbl_QueryParsing[[#This Row],[ValEndChar]]="",0,SEARCH(Tbl_QueryParsing[[#This Row],[ValEndChar]],QueryResult,Tbl_QueryParsing[[#This Row],[SearchStart]]))</f>
        <v>0</v>
      </c>
      <c r="V3">
        <f>ROW()-ROW(Tbl_QueryParsing[#Headers])-1</f>
        <v>0</v>
      </c>
      <c r="W3">
        <f>IFERROR(INDEX(Tbl_QueryParsing[End],MATCH(Tbl_QueryParsing[[#This Row],[Precedent]],Tbl_QueryParsing[Row],0)),1)+Tbl_QueryParsing[[#This Row],[ValOffset]]</f>
        <v>1</v>
      </c>
      <c r="X3">
        <f>IF(Tbl_QueryParsing[[#This Row],[Type]]="Text",SEARCH(Tbl_QueryParsing[[#This Row],[Text]],QueryResult,Tbl_QueryParsing[[#This Row],[SearchStart]]),Tbl_QueryParsing[[#This Row],[SearchStart]])</f>
        <v>12</v>
      </c>
      <c r="Y3">
        <f>IF(Tbl_QueryParsing[[#This Row],[Type]]="Text",LEN(Tbl_QueryParsing[[#This Row],[Text]]),Tbl_QueryParsing[[#This Row],[EndCharLoc]]-Tbl_QueryParsing[[#This Row],[SearchStart]])</f>
        <v>6</v>
      </c>
      <c r="Z3">
        <f>Tbl_QueryParsing[[#This Row],[Loc]]+Tbl_QueryParsing[[#This Row],[Len]]</f>
        <v>18</v>
      </c>
      <c r="AA3" t="str">
        <f>MID(QueryResult,Tbl_QueryParsing[[#This Row],[Loc]],Tbl_QueryParsing[[#This Row],[Len]])</f>
        <v>Search</v>
      </c>
      <c r="AC3">
        <f>ROW()-ROW(Tbl_Beaufort[#Headers])-1</f>
        <v>0</v>
      </c>
      <c r="AD3" t="str">
        <f>TT!$O15</f>
        <v>Calm</v>
      </c>
      <c r="AE3" t="str">
        <f>TT!$O48</f>
        <v>Calm; smoke rises vertically</v>
      </c>
      <c r="AF3">
        <v>0</v>
      </c>
      <c r="AG3">
        <v>1</v>
      </c>
      <c r="AH3" t="e">
        <f>IF(Tbl_Beaufort[[#This Row],[Beaufort num]]=BeaufortVal,1,NA())</f>
        <v>#N/A</v>
      </c>
      <c r="AI3" t="e">
        <f>IF(AND(Tbl_Beaufort[[#This Row],[Min]]&lt;=Wind_KPH,Tbl_Beaufort[[#This Row],[Max]]&gt;Wind_KPH),1,NA())</f>
        <v>#N/A</v>
      </c>
      <c r="AK3">
        <v>0</v>
      </c>
      <c r="AL3">
        <f>Tbl_GaugeLables[[#This Row],[Row]]*10</f>
        <v>0</v>
      </c>
      <c r="AM3">
        <f>MOD(210+360-Tbl_GaugeLables[[#This Row],[Val]]*2,360)</f>
        <v>210</v>
      </c>
      <c r="AN3">
        <f>RADIANS(Tbl_GaugeLables[[#This Row],[Angle]])</f>
        <v>3.6651914291880923</v>
      </c>
      <c r="AO3">
        <f>COS(Tbl_GaugeLables[[#This Row],[Radians]])</f>
        <v>-0.8660254037844386</v>
      </c>
      <c r="AP3">
        <f>SIN(Tbl_GaugeLables[[#This Row],[Radians]])</f>
        <v>-0.50000000000000011</v>
      </c>
    </row>
    <row r="4" spans="2:42">
      <c r="B4" t="s">
        <v>165</v>
      </c>
      <c r="C4" t="str">
        <f>_xlfn.SWITCH(INDEX(Tbl_CityLookup[Type],LocNum),"Query",INDEX(Tbl_CityLookup[API City Name],LocNum),"NA")</f>
        <v>Seattle</v>
      </c>
      <c r="E4" t="s">
        <v>79</v>
      </c>
      <c r="F4" t="str">
        <f>TT!$O34</f>
        <v>Seattle, USA</v>
      </c>
      <c r="G4">
        <v>0.48</v>
      </c>
      <c r="H4">
        <v>2.5</v>
      </c>
      <c r="I4">
        <f>ROW()-ROW(Tbl_CityLookup[#Headers])</f>
        <v>2</v>
      </c>
      <c r="J4" t="s">
        <v>166</v>
      </c>
      <c r="K4" t="s">
        <v>167</v>
      </c>
      <c r="L4" t="s">
        <v>167</v>
      </c>
      <c r="M4" t="s">
        <v>167</v>
      </c>
      <c r="N4" t="s">
        <v>167</v>
      </c>
      <c r="P4">
        <f>ROW()-ROW(Tbl_QueryParsing[#Headers])</f>
        <v>2</v>
      </c>
      <c r="Q4" t="s">
        <v>143</v>
      </c>
      <c r="R4" t="s">
        <v>168</v>
      </c>
      <c r="U4">
        <f>IF(Tbl_QueryParsing[[#This Row],[ValEndChar]]="",0,SEARCH(Tbl_QueryParsing[[#This Row],[ValEndChar]],QueryResult,Tbl_QueryParsing[[#This Row],[SearchStart]]))</f>
        <v>0</v>
      </c>
      <c r="V4">
        <f>ROW()-ROW(Tbl_QueryParsing[#Headers])-1</f>
        <v>1</v>
      </c>
      <c r="W4">
        <f>IFERROR(INDEX(Tbl_QueryParsing[End],MATCH(Tbl_QueryParsing[[#This Row],[Precedent]],Tbl_QueryParsing[Row],0)),1)+Tbl_QueryParsing[[#This Row],[ValOffset]]</f>
        <v>18</v>
      </c>
      <c r="X4">
        <f>IF(Tbl_QueryParsing[[#This Row],[Type]]="Text",SEARCH(Tbl_QueryParsing[[#This Row],[Text]],QueryResult,Tbl_QueryParsing[[#This Row],[SearchStart]]),Tbl_QueryParsing[[#This Row],[SearchStart]])</f>
        <v>7276</v>
      </c>
      <c r="Y4">
        <f>IF(Tbl_QueryParsing[[#This Row],[Type]]="Text",LEN(Tbl_QueryParsing[[#This Row],[Text]]),Tbl_QueryParsing[[#This Row],[EndCharLoc]]-Tbl_QueryParsing[[#This Row],[SearchStart]])</f>
        <v>14</v>
      </c>
      <c r="Z4">
        <f>Tbl_QueryParsing[[#This Row],[Loc]]+Tbl_QueryParsing[[#This Row],[Len]]</f>
        <v>7290</v>
      </c>
      <c r="AA4" t="str">
        <f>MID(QueryResult,Tbl_QueryParsing[[#This Row],[Loc]],Tbl_QueryParsing[[#This Row],[Len]])</f>
        <v>currentWeather</v>
      </c>
      <c r="AC4">
        <f>ROW()-ROW(Tbl_Beaufort[#Headers])-1</f>
        <v>1</v>
      </c>
      <c r="AD4" t="str">
        <f>TT!$O16</f>
        <v>Light Air</v>
      </c>
      <c r="AE4" t="str">
        <f>TT!$O49</f>
        <v>Direction of wind shown by smoke drift, but not by wind vane.</v>
      </c>
      <c r="AF4">
        <v>1</v>
      </c>
      <c r="AG4">
        <v>6</v>
      </c>
      <c r="AH4" t="e">
        <f>IF(Tbl_Beaufort[[#This Row],[Beaufort num]]=BeaufortVal,1,NA())</f>
        <v>#N/A</v>
      </c>
      <c r="AI4" t="e">
        <f>IF(AND(Tbl_Beaufort[[#This Row],[Min]]&lt;=Wind_KPH,Tbl_Beaufort[[#This Row],[Max]]&gt;Wind_KPH),1,NA())</f>
        <v>#N/A</v>
      </c>
      <c r="AK4">
        <v>1</v>
      </c>
      <c r="AL4">
        <f>Tbl_GaugeLables[[#This Row],[Row]]*10</f>
        <v>10</v>
      </c>
      <c r="AM4">
        <f>MOD(210+360-Tbl_GaugeLables[[#This Row],[Val]]*2,360)</f>
        <v>190</v>
      </c>
      <c r="AN4">
        <f>RADIANS(Tbl_GaugeLables[[#This Row],[Angle]])</f>
        <v>3.3161255787892263</v>
      </c>
      <c r="AO4">
        <f>COS(Tbl_GaugeLables[[#This Row],[Radians]])</f>
        <v>-0.98480775301220802</v>
      </c>
      <c r="AP4">
        <f>SIN(Tbl_GaugeLables[[#This Row],[Radians]])</f>
        <v>-0.17364817766693047</v>
      </c>
    </row>
    <row r="5" spans="2:42">
      <c r="B5" t="s">
        <v>169</v>
      </c>
      <c r="C5" t="str">
        <f>IF(LocQueryName="NA","NA",udf_GETBINGWEATHER(LocQueryName))</f>
        <v>{"_type": "SearchResponse", "instrumentation": {"_type": "ResponseInstrumentation", "pingUrlBase": "https:\/\/www.bingapis.com\/api\/ping?IG=1CD05836E1BD4C028C4E564C2DA963E6&amp;CID=1EE1B8411BC161A12438A8371A496058&amp;ID=", "pageLoadPingUrl": "https:\/\/www.bingapis.com\/api\/ping\/pageload?IG=1CD05836E1BD4C028C4E564C2DA963E6&amp;CID=1EE1B8411BC161A12438A8371A496058&amp;Type=Event.CPT&amp;DATA=0"}, "queryContext": {"originalQuery": "Seattleresponsefilter=weather"}, "webPages": {"webSearchUrl": "https:\/\/www.bing.com\/search?q=Seattleresponsefilter%3dweather", "webSearchUrlPingSuffix": "DevEx,5257.1", "totalEstimatedMatches": 46, "value": [{"id": "https:\/\/www.bingapis.com\/api\/v7\/#WebPages.0", "name": "Emergency and Survival | REI Co-op", "url": "https:\/\/www.rei.com\/c\/emergency-and-survival", "urlPingSuffix": "DevEx,5078.1", "isFamilyFriendly": true, "displayUrl": "https:\/\/www.rei.com\/c\/emergency-and-survival", "snippet": "Shop for Emergency and Survival at REI - FREE SHIPPING With $50 minimum purchase. Curbside Pickup Available NOW! 100% Satisfaction Guarantee", "dateLastCrawled": "2021-07-14T06:09:00.0000000Z", "language": "en", "isNavigational": false}, {"id": "https:\/\/www.bingapis.com\/api\/v7\/#WebPages.1", "name": "PLBs and Satellite Messengers | REI Co-op", "url": "https:\/\/www.rei.com\/c\/plbs-and-satellite-messengers", "urlPingSuffix": "DevEx,5094.1", "isFamilyFriendly": true, "displayUrl": "https:\/\/www.rei.com\/c\/plbs-and-satellite-messengers", "snippet": "Shop for PLBs and Satellite Messengers at REI - FREE SHIPPING With $50 minimum purchase. Curbside Pickup Available NOW! 100% Satisfaction Guarantee", "deepLinks": [{"name": "Garmin Inreach Mini 2-Way Satellite Communicator", "url": "https:\/\/www.rei.com\/product\/140110\/garmin-inreach-mini", "urlPingSuffix": "DevEx,5258.1"}, {"name": "Garmin Gpsmap 66I GPS and 2-Way Satellite Communicator", "url": "https:\/\/www.rei.com\/product\/163568\/garmin-gpsmap-66i", "urlPingSuffix": "DevEx,5259.1"}, {"name": "Spot Gen3 Satellite GPS Messenger", "url": "https:\/\/www.rei.com\/product\/860469\/spot-gen3-satellite-gps-messenger", "urlPingSuffix": "DevEx,5260.1"}, {"name": "Garmin Inreach Explorer+ 2-Way Satellite Communicator", "url": "https:\/\/www.rei.com\/product\/119863\/garmin-inreach-explorer", "urlPingSuffix": "DevEx,5261.1"}, {"name": "Spot X 2-Way Satellite Messenger With Bluetooth", "url": "https:\/\/www.rei.com\/product\/172306\/spot-x-with-bluetooth", "urlPingSuffix": "DevEx,5262.1"}], "dateLastCrawled": "2021-07-12T17:58:00.0000000Z", "language": "en", "isNavigational": false}, {"id": "https:\/\/www.bingapis.com\/api\/v7\/#WebPages.2", "name": "CBS News - Breaking news, 24\/7 live streaming news &amp; top ...", "url": "https:\/\/www.cbsnews.com\/", "urlPingSuffix": "DevEx,5111.1", "isFamilyFriendly": true, "displayUrl": "https:\/\/www.cbsnews.com", "snippet": "Watch CBSN the live news stream from CBS News and get the latest, breaking news headlines of the day for national news and world news today.", "dateLastCrawled": "2021-07-14T00:42:00.0000000Z", "language": "en", "isNavigational": false}, {"id": "https:\/\/www.bingapis.com\/api\/v7\/#WebPages.3", "name": "Investigation of the predictability and physical ...", "url": "https:\/\/agupubs.onlinelibrary.wiley.com\/doi\/full\/10.1002\/2015JD023584", "urlPingSuffix": "DevEx,5134.1", "isFamilyFriendly": true, "displayUrl": "https:\/\/agupubs.onlinelibrary.wiley.com\/doi\/full\/10.1002\/2015JD023584", "snippet": "Forecast uncertainties and physical mechanisms of a quasi-linear extreme-rain-producing mesoscale convective system (MCS) along the Meiyu front in East China, during the midnight-to-morning hours on 8 July 2007, are studied using ensembles of 24 h convection-permitting simulations with a nested grid spacing of 1.11 km.", "dateLastCrawled": "2021-07-09T12:39:00.0000000Z", "language": "en", "isNavigational": false}, {"id": "https:\/\/www.bingapis.com\/api\/v7\/#WebPages.4", "name": "@facebook | Twitter", "url": "https:\/\/twitter.com\/facebook", "urlPingSuffix": "DevEx,5147.1", "isFamilyFriendly": true, "displayUrl": "https:\/\/twitter.com\/facebook", "snippet": "The latest tweets from @facebook", "dateLastCrawled": "2021-03-30T14:08:00.0000000Z", "language": "en", "isNavigational": false}]}, "entities": {"readLink": "https:\/\/www.bingapis.com\/api\/v7\/entities\/search?q=Seattleresponsefilter=weather", "queryScenario": "Disambiguation", "value": [{"id": "https:\/\/www.bingapis.com\/api\/v7\/entities\/0a985fc5-6c6a-ff51-ed2c-b928b1cb09d2", "readLink": "https:\/\/www.bingapis.com\/api\/v7\/search?q=CBS+News+(Broadcast+Media)&amp;filters=sid:%220a985fc5-6c6a-ff51-ed2c-b928b1cb09d2%22&amp;responsefilter=entities,places", "readLinkPingSuffix": "DevEx,5263.1", "contractualRules": [{"_type": "ContractualRules\/LicenseAttribution", "targetPropertyName": "description", "mustBeCloseToContent": true, "license": {"name": "CC-BY-SA", "url": "http:\/\/creativecommons.org\/licenses\/by-sa\/3.0\/", "urlPingSuffix": "DevEx,5267.1"}, "licenseNotice": "Text under CC-BY-SA license"}, {"_type": "ContractualRules\/LinkAttribution", "targetPropertyName": "description", "mustBeCloseToContent": true, "text": "Wikipedia", "url": "http:\/\/en.wikipedia.org\/wiki\/CBS_News", "urlPingSuffix": "DevEx,5266.1"}, {"_type": "ContractualRules\/MediaAttribution", "targetPropertyName": "image", "mustBeCloseToContent": true, "url": "http:\/\/www.cbsnews.com\/", "urlPingSuffix": "DevEx,5265.1"}], "webSearchUrl": "https:\/\/www.bing.com\/search?q=cbs+news&amp;filters=ufn%3a%22cbs+news%22+sid%3a%220a985fc5-6c6a-ff51-ed2c-b928b1cb09d2%22&amp;FORM=SNAPST", "webSearchUrlPingSuffix": "DevEx,5235.1", "name": "CBS News (Broadcast Media)", "image": {"name": "CBS News", "thumbnailUrl": "https:\/\/www.bing.com\/th?id=AMMS_56a672dab9561fd2c331ce80add8ecf1&amp;w=72&amp;h=72&amp;c=7&amp;rs=1&amp;qlt=80&amp;cdv=1&amp;pid=16.1", "provider": [{"_type": "Organization", "url": "http:\/\/www.cbsnews.com\/", "urlPingSuffix": "DevEx,5265.1"}], "width": 72, "height": 72, "sourceWidth": 256, "sourceHeight": 256}, "description": "CBS News is the news division of the American television and radio service CBS. CBS News television programs include the CBS Evening News, CBS This Morning, news magazine programs CBS News Sunday Morning, 60 Minutes, and 48 Hours, and Sunday morning political affairs program Face the Nation. CBS News Radio produces hourly newscasts for hundreds of radio stations, and also oversees CBS News podcasts like The Takeout Podcast. CBS News also operates the 24-hour digital news network CBSN.", "entityPresentationInfo": {"entityScenario": "DisambiguationItem", "entityTypeHints": ["Organization"], "entityTypeDisplayHint": "Broadcast Media"}}]}, "weather": {"id": "https:\/\/www.bingapis.com\/api\/v7\/#Weather", "contractualRules": [{"_type": "ContractualRules\/LinkAttribution", "text": "Foreca", "url": "http:\/\/corporate.foreca.com\/en\/about-us", "urlPingSuffix": "DevEx,5256.1"}], "attributions": [{"provider": {"name": "Foreca", "url": "http:\/\/corporate.foreca.com\/en\/about-us", "urlPingSuffix": "DevEx,5256.1"}}], "location": {"name": "Seattle", "geo": {"latitude": 47.6032, "longitude": -122.3303}, "address": {"addressLocality": "Seattle", "addressRegion": "Washington", "addressCountry": "United States"}}, "currentWeather": {"image": {"url": "https:\/\/www.bing.com\/th?id=OBW.v1.Cloudy", "thumbnailUrl": "https:\/\/www.bing.com\/th?id=OBW.v1.Cloudy", "width": 75, "height": 75}, "conditionSummary": "Cloudy", "conditionDescription": "Cloudy", "temperature": {"value": 60, "unitText": "Fahrenheit"}, "precipitationChance": 30, "humidity": 78, "windSpeed": {"value": 5, "unitText": "MilesPerHour"}, "windDirection": {"value": 199, "unitText": "DegreesAzimuth"}, "date": "2021-07-16T00:00:00.0000000", "highTemperature": {"value": 70, "unitText": "Fahrenheit"}, "lowTemperature": {"value": 55, "unitText": "Fahrenheit"}, "sunrise": "2021-07-16T05:27:57.0000000", "sunset": "2021-07-16T21:02:16.0000000"}, "dailyForecast": [{"image": {"url": "https:\/\/www.bing.com\/th?id=OBW.v1.PartlyCloudyDay", "thumbnailUrl": "https:\/\/www.bing.com\/th?id=OBW.v1.PartlyCloudyDay", "width": 75, "height": 75}, "conditionSummary": "Clear", "conditionDescription": "Partly sunny", "precipitationChance": 0, "date": "2021-07-17T00:00:00.0000000", "highTemperature": {"value": 74, "unitText": "Fahrenheit"}, "lowTemperature": {"value": 54, "unitText": "Fahrenheit"}}, {"image": {"url": "https:\/\/www.bing.com\/th?id=OBW.v1.SunnyDay", "thumbnailUrl": "https:\/\/www.bing.com\/th?id=OBW.v1.SunnyDay", "width": 75, "height": 75}, "conditionSummary": "Sunny", "conditionDescription": "Sunny", "precipitationChance": 0, "date": "2021-07-18T00:00:00.0000000", "highTemperature": {"value": 77, "unitText": "Fahrenheit"}, "lowTemperature": {"value": 55, "unitText": "Fahrenheit"}}, {"image": {"url": "https:\/\/www.bing.com\/th?id=OBW.v1.SunnyDay", "thumbnailUrl": "https:\/\/www.bing.com\/th?id=OBW.v1.SunnyDay", "width": 75, "height": 75}, "conditionSummary": "Sunny", "conditionDescription": "Sunny", "precipitationChance": 0, "date": "2021-07-19T00:00:00.0000000", "highTemperature": {"value": 78, "unitText": "Fahrenheit"}, "lowTemperature": {"value": 56, "unitText": "Fahrenheit"}}, {"image": {"url": "https:\/\/www.bing.com\/th?id=OBW.v1.SunnyDay", "thumbnailUrl": "https:\/\/www.bing.com\/th?id=OBW.v1.SunnyDay", "width": 75, "height": 75}, "conditionSummary": "Sunny", "conditionDescription": "Sunny", "precipitationChance": 0, "date": "2021-07-20T00:00:00.0000000", "highTemperature": {"value": 76, "unitText": "Fahrenheit"}, "lowTemperature": {"value": 54, "unitText": "Fahrenheit"}}, {"image": {"url": "https:\/\/www.bing.com\/th?id=OBW.v1.SunnyDay", "thumbnailUrl": "https:\/\/www.bing.com\/th?id=OBW.v1.SunnyDay", "width": 75, "height": 75}, "conditionSummary": "Sunny", "conditionDescription": "Sunny", "precipitationChance": 2, "date": "2021-07-21T00:00:00.0000000", "highTemperature": {"value": 73, "unitText": "Fahrenheit"}, "lowTemperature": {"value": 54, "unitText": "Fahrenheit"}}, {"image": {"url": "https:\/\/www.bing.com\/th?id=OBW.v1.SunnyDay", "thumbnailUrl": "https:\/\/www.bing.com\/th?id=OBW.v1.SunnyDay", "width": 75, "height": 75}, "conditionSummary": "Sunny", "conditionDescription": "Sunny", "precipitationChance": 2, "date": "2021-07-22T00:00:00.0000000", "highTemperature": {"value": 74, "unitText": "Fahrenheit"}, "lowTemperature": {"value": 56, "unitText": "Fahrenheit"}}, {"image": {"url": "https:\/\/www.bing.com\/th?id=OBW.v1.SunnyDay", "thumbnailUrl": "https:\/\/www.bing.com\/th?id=OBW.v1.SunnyDay", "width": 75, "height": 75}, "conditionSummary": "Sunny", "conditionDescription": "Sunny", "precipitationChance": 2, "date": "2021-07-23T00:00:00.0000000", "highTemperature": {"value": 77, "unitText": "Fahrenheit"}, "lowTemperature": {"value": 58, "unitText": "Fahrenheit"}}, {"image": {"url": "https:\/\/www.bing.com\/th?id=OBW.v1.SunnyDay", "thumbnailUrl": "https:\/\/www.bing.com\/th?id=OBW.v1.SunnyDay", "width": 75, "height": 75}, "conditionSummary": "Sunny", "conditionDescription": "Sunny", "precipitationChance": 3, "date": "2021-07-24T00:00:00.0000000", "highTemperature": {"value": 78, "unitText": "Fahrenheit"}, "lowTemperature": {"value": 59, "unitText": "Fahrenheit"}}, {"image": {"url": "https:\/\/www.bing.com\/th?id=OBW.v1.SunnyDay", "thumbnailUrl": "https:\/\/www.bing.com\/th?id=OBW.v1.SunnyDay", "width": 75, "height": 75}, "conditionSummary": "Sunny", "conditionDescription": "Sunny", "precipitationChance": 2, "date": "2021-07-25T00:00:00.0000000", "highTemperature": {"value": 75, "unitText": "Fahrenheit"}, "lowTemperature": {"value": 59, "unitText": "Fahrenheit"}}]}, "rankingResponse": {"mainline": {"items": [{"answerType": "Weather", "value": {"id": "https:\/\/www.bingapis.com\/api\/v7\/#Weather"}}, {"answerType": "WebPages", "resultIndex": 0, "value": {"id": "https:\/\/www.bingapis.com\/api\/v7\/#WebPages.0"}}, {"answerType": "WebPages", "resultIndex": 1, "value": {"id": "https:\/\/www.bingapis.com\/api\/v7\/#WebPages.1"}}, {"answerType": "WebPages", "resultIndex": 2, "value": {"id": "https:\/\/www.bingapis.com\/api\/v7\/#WebPages.2"}}, {"answerType": "WebPages", "resultIndex": 3, "value": {"id": "https:\/\/www.bingapis.com\/api\/v7\/#WebPages.3"}}, {"answerType": "WebPages", "resultIndex": 4, "value": {"id": "https:\/\/www.bingapis.com\/api\/v7\/#WebPages.4"}}, {"answerType": "BingGlobal"}]}, "sidebar": {"items": [{"answerType": "Entities", "resultIndex": 0, "value": {"id": "https:\/\/www.bingapis.com\/api\/v7\/entities\/0a985fc5-6c6a-ff51-ed2c-b928b1cb09d2"}}]}, "pagination": {"items": [{"answerType": "Pagination", "value": {"id": "https:\/\/www.bingapis.com\/api\/v7\/#Pagination"}}]}}, "pagination": {"id": "https:\/\/www.bingapis.com\/api\/v7\/#Pagination", "currentPageNumber": 1, "nextPage": {"pageNumber": 2, "offset": 5}, "paginationLinks": [{"pageNumber": 1, "offset": 0}, {"pageNumber": 2, "offset": 5}, {"pageNumber": 3, "offset": 15}, {"pageNumber": 4, "offset": 25}, {"pageNumber": 5, "offset": 35}]}}</v>
      </c>
      <c r="E5" t="s">
        <v>81</v>
      </c>
      <c r="F5" t="str">
        <f>TT!$O35</f>
        <v>Chicago, USA</v>
      </c>
      <c r="G5">
        <v>1</v>
      </c>
      <c r="H5">
        <v>2.4</v>
      </c>
      <c r="I5">
        <f>ROW()-ROW(Tbl_CityLookup[#Headers])</f>
        <v>3</v>
      </c>
      <c r="J5" t="s">
        <v>170</v>
      </c>
      <c r="K5" t="s">
        <v>167</v>
      </c>
      <c r="L5" t="s">
        <v>167</v>
      </c>
      <c r="M5" t="s">
        <v>167</v>
      </c>
      <c r="N5" t="s">
        <v>167</v>
      </c>
      <c r="P5">
        <f>ROW()-ROW(Tbl_QueryParsing[#Headers])</f>
        <v>3</v>
      </c>
      <c r="Q5" t="s">
        <v>143</v>
      </c>
      <c r="R5" t="s">
        <v>27</v>
      </c>
      <c r="U5">
        <f>IF(Tbl_QueryParsing[[#This Row],[ValEndChar]]="",0,SEARCH(Tbl_QueryParsing[[#This Row],[ValEndChar]],QueryResult,Tbl_QueryParsing[[#This Row],[SearchStart]]))</f>
        <v>0</v>
      </c>
      <c r="V5">
        <f>ROW()-ROW(Tbl_QueryParsing[#Headers])-1</f>
        <v>2</v>
      </c>
      <c r="W5">
        <f>IFERROR(INDEX(Tbl_QueryParsing[End],MATCH(Tbl_QueryParsing[[#This Row],[Precedent]],Tbl_QueryParsing[Row],0)),1)+Tbl_QueryParsing[[#This Row],[ValOffset]]</f>
        <v>7290</v>
      </c>
      <c r="X5">
        <f>IF(Tbl_QueryParsing[[#This Row],[Type]]="Text",SEARCH(Tbl_QueryParsing[[#This Row],[Text]],QueryResult,Tbl_QueryParsing[[#This Row],[SearchStart]]),Tbl_QueryParsing[[#This Row],[SearchStart]])</f>
        <v>7514</v>
      </c>
      <c r="Y5">
        <f>IF(Tbl_QueryParsing[[#This Row],[Type]]="Text",LEN(Tbl_QueryParsing[[#This Row],[Text]]),Tbl_QueryParsing[[#This Row],[EndCharLoc]]-Tbl_QueryParsing[[#This Row],[SearchStart]])</f>
        <v>11</v>
      </c>
      <c r="Z5">
        <f>Tbl_QueryParsing[[#This Row],[Loc]]+Tbl_QueryParsing[[#This Row],[Len]]</f>
        <v>7525</v>
      </c>
      <c r="AA5" t="str">
        <f>MID(QueryResult,Tbl_QueryParsing[[#This Row],[Loc]],Tbl_QueryParsing[[#This Row],[Len]])</f>
        <v>temperature</v>
      </c>
      <c r="AC5">
        <f>ROW()-ROW(Tbl_Beaufort[#Headers])-1</f>
        <v>2</v>
      </c>
      <c r="AD5" t="str">
        <f>TT!$O17</f>
        <v>Light Breeze</v>
      </c>
      <c r="AE5" t="str">
        <f>TT!$O50</f>
        <v>Wind felt on face; leaves rustle; ordinary vanes moved.</v>
      </c>
      <c r="AF5">
        <v>6</v>
      </c>
      <c r="AG5">
        <v>12</v>
      </c>
      <c r="AH5">
        <f>IF(Tbl_Beaufort[[#This Row],[Beaufort num]]=BeaufortVal,1,NA())</f>
        <v>1</v>
      </c>
      <c r="AI5">
        <f>IF(AND(Tbl_Beaufort[[#This Row],[Min]]&lt;=Wind_KPH,Tbl_Beaufort[[#This Row],[Max]]&gt;Wind_KPH),1,NA())</f>
        <v>1</v>
      </c>
      <c r="AK5">
        <v>2</v>
      </c>
      <c r="AL5">
        <f>Tbl_GaugeLables[[#This Row],[Row]]*10</f>
        <v>20</v>
      </c>
      <c r="AM5">
        <f>MOD(210+360-Tbl_GaugeLables[[#This Row],[Val]]*2,360)</f>
        <v>170</v>
      </c>
      <c r="AN5">
        <f>RADIANS(Tbl_GaugeLables[[#This Row],[Angle]])</f>
        <v>2.9670597283903604</v>
      </c>
      <c r="AO5">
        <f>COS(Tbl_GaugeLables[[#This Row],[Radians]])</f>
        <v>-0.98480775301220802</v>
      </c>
      <c r="AP5">
        <f>SIN(Tbl_GaugeLables[[#This Row],[Radians]])</f>
        <v>0.17364817766693028</v>
      </c>
    </row>
    <row r="6" spans="2:42">
      <c r="B6" t="s">
        <v>171</v>
      </c>
      <c r="C6" s="45">
        <f>IF(QueryResult="NA",INDEX(Tbl_CityLookup[Temperature],LocNum)*1.8+32,VALUE(INDEX(Tbl_QueryParsing[Value],MATCH(B6,Tbl_QueryParsing[Text],0))))</f>
        <v>60</v>
      </c>
      <c r="E6" t="s">
        <v>83</v>
      </c>
      <c r="F6" t="str">
        <f>TT!$O36</f>
        <v>New York, USA</v>
      </c>
      <c r="G6">
        <v>1.24</v>
      </c>
      <c r="H6">
        <v>2.35</v>
      </c>
      <c r="I6">
        <f>ROW()-ROW(Tbl_CityLookup[#Headers])</f>
        <v>4</v>
      </c>
      <c r="J6" t="s">
        <v>83</v>
      </c>
      <c r="K6" t="s">
        <v>167</v>
      </c>
      <c r="L6" t="s">
        <v>167</v>
      </c>
      <c r="M6" t="s">
        <v>167</v>
      </c>
      <c r="N6" t="s">
        <v>167</v>
      </c>
      <c r="P6">
        <f>ROW()-ROW(Tbl_QueryParsing[#Headers])</f>
        <v>4</v>
      </c>
      <c r="Q6" t="s">
        <v>143</v>
      </c>
      <c r="R6" t="s">
        <v>152</v>
      </c>
      <c r="U6">
        <f>IF(Tbl_QueryParsing[[#This Row],[ValEndChar]]="",0,SEARCH(Tbl_QueryParsing[[#This Row],[ValEndChar]],QueryResult,Tbl_QueryParsing[[#This Row],[SearchStart]]))</f>
        <v>0</v>
      </c>
      <c r="V6">
        <f>ROW()-ROW(Tbl_QueryParsing[#Headers])-1</f>
        <v>3</v>
      </c>
      <c r="W6">
        <f>IFERROR(INDEX(Tbl_QueryParsing[End],MATCH(Tbl_QueryParsing[[#This Row],[Precedent]],Tbl_QueryParsing[Row],0)),1)+Tbl_QueryParsing[[#This Row],[ValOffset]]</f>
        <v>7525</v>
      </c>
      <c r="X6">
        <f>IF(Tbl_QueryParsing[[#This Row],[Type]]="Text",SEARCH(Tbl_QueryParsing[[#This Row],[Text]],QueryResult,Tbl_QueryParsing[[#This Row],[SearchStart]]),Tbl_QueryParsing[[#This Row],[SearchStart]])</f>
        <v>7530</v>
      </c>
      <c r="Y6">
        <f>IF(Tbl_QueryParsing[[#This Row],[Type]]="Text",LEN(Tbl_QueryParsing[[#This Row],[Text]]),Tbl_QueryParsing[[#This Row],[EndCharLoc]]-Tbl_QueryParsing[[#This Row],[SearchStart]])</f>
        <v>5</v>
      </c>
      <c r="Z6">
        <f>Tbl_QueryParsing[[#This Row],[Loc]]+Tbl_QueryParsing[[#This Row],[Len]]</f>
        <v>7535</v>
      </c>
      <c r="AA6" t="str">
        <f>MID(QueryResult,Tbl_QueryParsing[[#This Row],[Loc]],Tbl_QueryParsing[[#This Row],[Len]])</f>
        <v>value</v>
      </c>
      <c r="AC6">
        <f>ROW()-ROW(Tbl_Beaufort[#Headers])-1</f>
        <v>3</v>
      </c>
      <c r="AD6" t="str">
        <f>TT!$O18</f>
        <v>Gentle Breeze</v>
      </c>
      <c r="AE6" t="str">
        <f>TT!$O51</f>
        <v>Leaves and small twigs in constant motion, wind extends light flag.</v>
      </c>
      <c r="AF6">
        <v>12</v>
      </c>
      <c r="AG6">
        <v>20</v>
      </c>
      <c r="AH6" t="e">
        <f>IF(Tbl_Beaufort[[#This Row],[Beaufort num]]=BeaufortVal,1,NA())</f>
        <v>#N/A</v>
      </c>
      <c r="AI6" t="e">
        <f>IF(AND(Tbl_Beaufort[[#This Row],[Min]]&lt;=Wind_KPH,Tbl_Beaufort[[#This Row],[Max]]&gt;Wind_KPH),1,NA())</f>
        <v>#N/A</v>
      </c>
      <c r="AK6">
        <v>3</v>
      </c>
      <c r="AL6">
        <f>Tbl_GaugeLables[[#This Row],[Row]]*10</f>
        <v>30</v>
      </c>
      <c r="AM6">
        <f>MOD(210+360-Tbl_GaugeLables[[#This Row],[Val]]*2,360)</f>
        <v>150</v>
      </c>
      <c r="AN6">
        <f>RADIANS(Tbl_GaugeLables[[#This Row],[Angle]])</f>
        <v>2.6179938779914944</v>
      </c>
      <c r="AO6">
        <f>COS(Tbl_GaugeLables[[#This Row],[Radians]])</f>
        <v>-0.86602540378443871</v>
      </c>
      <c r="AP6">
        <f>SIN(Tbl_GaugeLables[[#This Row],[Radians]])</f>
        <v>0.49999999999999994</v>
      </c>
    </row>
    <row r="7" spans="2:42">
      <c r="B7" t="s">
        <v>172</v>
      </c>
      <c r="C7" s="45">
        <f>(TempVal_F-32)*5/9</f>
        <v>15.555555555555555</v>
      </c>
      <c r="E7" t="s">
        <v>85</v>
      </c>
      <c r="F7" t="str">
        <f>TT!$O37</f>
        <v>Paris, France</v>
      </c>
      <c r="G7">
        <v>2.48</v>
      </c>
      <c r="H7">
        <v>2.4700000000000002</v>
      </c>
      <c r="I7">
        <f>ROW()-ROW(Tbl_CityLookup[#Headers])</f>
        <v>5</v>
      </c>
      <c r="J7" t="s">
        <v>173</v>
      </c>
      <c r="K7" t="s">
        <v>167</v>
      </c>
      <c r="L7" t="s">
        <v>167</v>
      </c>
      <c r="M7" t="s">
        <v>167</v>
      </c>
      <c r="N7" t="s">
        <v>167</v>
      </c>
      <c r="P7">
        <f>ROW()-ROW(Tbl_QueryParsing[#Headers])</f>
        <v>5</v>
      </c>
      <c r="Q7" t="s">
        <v>152</v>
      </c>
      <c r="R7" t="s">
        <v>171</v>
      </c>
      <c r="S7">
        <v>3</v>
      </c>
      <c r="T7" t="s">
        <v>174</v>
      </c>
      <c r="U7">
        <f>IF(Tbl_QueryParsing[[#This Row],[ValEndChar]]="",0,SEARCH(Tbl_QueryParsing[[#This Row],[ValEndChar]],QueryResult,Tbl_QueryParsing[[#This Row],[SearchStart]]))</f>
        <v>7540</v>
      </c>
      <c r="V7">
        <f>ROW()-ROW(Tbl_QueryParsing[#Headers])-1</f>
        <v>4</v>
      </c>
      <c r="W7">
        <f>IFERROR(INDEX(Tbl_QueryParsing[End],MATCH(Tbl_QueryParsing[[#This Row],[Precedent]],Tbl_QueryParsing[Row],0)),1)+Tbl_QueryParsing[[#This Row],[ValOffset]]</f>
        <v>7538</v>
      </c>
      <c r="X7">
        <f>IF(Tbl_QueryParsing[[#This Row],[Type]]="Text",SEARCH(Tbl_QueryParsing[[#This Row],[Text]],QueryResult,Tbl_QueryParsing[[#This Row],[SearchStart]]),Tbl_QueryParsing[[#This Row],[SearchStart]])</f>
        <v>7538</v>
      </c>
      <c r="Y7">
        <f>IF(Tbl_QueryParsing[[#This Row],[Type]]="Text",LEN(Tbl_QueryParsing[[#This Row],[Text]]),Tbl_QueryParsing[[#This Row],[EndCharLoc]]-Tbl_QueryParsing[[#This Row],[SearchStart]])</f>
        <v>2</v>
      </c>
      <c r="Z7">
        <f>Tbl_QueryParsing[[#This Row],[Loc]]+Tbl_QueryParsing[[#This Row],[Len]]</f>
        <v>7540</v>
      </c>
      <c r="AA7" t="str">
        <f>MID(QueryResult,Tbl_QueryParsing[[#This Row],[Loc]],Tbl_QueryParsing[[#This Row],[Len]])</f>
        <v>60</v>
      </c>
      <c r="AC7">
        <f>ROW()-ROW(Tbl_Beaufort[#Headers])-1</f>
        <v>4</v>
      </c>
      <c r="AD7" t="str">
        <f>TT!$O19</f>
        <v>Moderate Breeze</v>
      </c>
      <c r="AE7" t="str">
        <f>TT!$O52</f>
        <v>Raises dust and loose paper, small branches are moved.</v>
      </c>
      <c r="AF7">
        <v>20</v>
      </c>
      <c r="AG7">
        <v>29</v>
      </c>
      <c r="AH7" t="e">
        <f>IF(Tbl_Beaufort[[#This Row],[Beaufort num]]=BeaufortVal,1,NA())</f>
        <v>#N/A</v>
      </c>
      <c r="AI7" t="e">
        <f>IF(AND(Tbl_Beaufort[[#This Row],[Min]]&lt;=Wind_KPH,Tbl_Beaufort[[#This Row],[Max]]&gt;Wind_KPH),1,NA())</f>
        <v>#N/A</v>
      </c>
      <c r="AK7">
        <v>4</v>
      </c>
      <c r="AL7">
        <f>Tbl_GaugeLables[[#This Row],[Row]]*10</f>
        <v>40</v>
      </c>
      <c r="AM7">
        <f>MOD(210+360-Tbl_GaugeLables[[#This Row],[Val]]*2,360)</f>
        <v>130</v>
      </c>
      <c r="AN7">
        <f>RADIANS(Tbl_GaugeLables[[#This Row],[Angle]])</f>
        <v>2.2689280275926285</v>
      </c>
      <c r="AO7">
        <f>COS(Tbl_GaugeLables[[#This Row],[Radians]])</f>
        <v>-0.64278760968653936</v>
      </c>
      <c r="AP7">
        <f>SIN(Tbl_GaugeLables[[#This Row],[Radians]])</f>
        <v>0.76604444311897801</v>
      </c>
    </row>
    <row r="8" spans="2:42">
      <c r="B8" t="s">
        <v>175</v>
      </c>
      <c r="C8">
        <v>40</v>
      </c>
      <c r="E8" t="s">
        <v>86</v>
      </c>
      <c r="F8" t="str">
        <f>TT!$O38</f>
        <v>Seoul, South Korea</v>
      </c>
      <c r="G8">
        <v>4.6500000000000004</v>
      </c>
      <c r="H8">
        <v>2.25</v>
      </c>
      <c r="I8">
        <f>ROW()-ROW(Tbl_CityLookup[#Headers])</f>
        <v>6</v>
      </c>
      <c r="J8" t="s">
        <v>176</v>
      </c>
      <c r="K8" t="s">
        <v>167</v>
      </c>
      <c r="L8" t="s">
        <v>167</v>
      </c>
      <c r="M8" t="s">
        <v>167</v>
      </c>
      <c r="N8" t="s">
        <v>167</v>
      </c>
      <c r="P8">
        <f>ROW()-ROW(Tbl_QueryParsing[#Headers])</f>
        <v>6</v>
      </c>
      <c r="Q8" t="s">
        <v>143</v>
      </c>
      <c r="R8" t="s">
        <v>177</v>
      </c>
      <c r="U8">
        <f>IF(Tbl_QueryParsing[[#This Row],[ValEndChar]]="",0,SEARCH(Tbl_QueryParsing[[#This Row],[ValEndChar]],QueryResult,Tbl_QueryParsing[[#This Row],[SearchStart]]))</f>
        <v>0</v>
      </c>
      <c r="V8">
        <f>ROW()-ROW(Tbl_QueryParsing[#Headers])-1</f>
        <v>5</v>
      </c>
      <c r="W8">
        <f>IFERROR(INDEX(Tbl_QueryParsing[End],MATCH(Tbl_QueryParsing[[#This Row],[Precedent]],Tbl_QueryParsing[Row],0)),1)+Tbl_QueryParsing[[#This Row],[ValOffset]]</f>
        <v>7540</v>
      </c>
      <c r="X8">
        <f>IF(Tbl_QueryParsing[[#This Row],[Type]]="Text",SEARCH(Tbl_QueryParsing[[#This Row],[Text]],QueryResult,Tbl_QueryParsing[[#This Row],[SearchStart]]),Tbl_QueryParsing[[#This Row],[SearchStart]])</f>
        <v>7613</v>
      </c>
      <c r="Y8">
        <f>IF(Tbl_QueryParsing[[#This Row],[Type]]="Text",LEN(Tbl_QueryParsing[[#This Row],[Text]]),Tbl_QueryParsing[[#This Row],[EndCharLoc]]-Tbl_QueryParsing[[#This Row],[SearchStart]])</f>
        <v>9</v>
      </c>
      <c r="Z8">
        <f>Tbl_QueryParsing[[#This Row],[Loc]]+Tbl_QueryParsing[[#This Row],[Len]]</f>
        <v>7622</v>
      </c>
      <c r="AA8" t="str">
        <f>MID(QueryResult,Tbl_QueryParsing[[#This Row],[Loc]],Tbl_QueryParsing[[#This Row],[Len]])</f>
        <v>windSpeed</v>
      </c>
      <c r="AC8">
        <f>ROW()-ROW(Tbl_Beaufort[#Headers])-1</f>
        <v>5</v>
      </c>
      <c r="AD8" t="str">
        <f>TT!$O20</f>
        <v>Fresh Breeze</v>
      </c>
      <c r="AE8" t="str">
        <f>TT!$O53</f>
        <v>Small trees in leaf begin to sway; crested wavelets form on inland waters.</v>
      </c>
      <c r="AF8">
        <v>29</v>
      </c>
      <c r="AG8">
        <v>39</v>
      </c>
      <c r="AH8" t="e">
        <f>IF(Tbl_Beaufort[[#This Row],[Beaufort num]]=BeaufortVal,1,NA())</f>
        <v>#N/A</v>
      </c>
      <c r="AI8" t="e">
        <f>IF(AND(Tbl_Beaufort[[#This Row],[Min]]&lt;=Wind_KPH,Tbl_Beaufort[[#This Row],[Max]]&gt;Wind_KPH),1,NA())</f>
        <v>#N/A</v>
      </c>
      <c r="AK8">
        <v>5</v>
      </c>
      <c r="AL8">
        <f>Tbl_GaugeLables[[#This Row],[Row]]*10</f>
        <v>50</v>
      </c>
      <c r="AM8">
        <f>MOD(210+360-Tbl_GaugeLables[[#This Row],[Val]]*2,360)</f>
        <v>110</v>
      </c>
      <c r="AN8">
        <f>RADIANS(Tbl_GaugeLables[[#This Row],[Angle]])</f>
        <v>1.9198621771937625</v>
      </c>
      <c r="AO8">
        <f>COS(Tbl_GaugeLables[[#This Row],[Radians]])</f>
        <v>-0.34202014332566871</v>
      </c>
      <c r="AP8">
        <f>SIN(Tbl_GaugeLables[[#This Row],[Radians]])</f>
        <v>0.93969262078590843</v>
      </c>
    </row>
    <row r="9" spans="2:42">
      <c r="B9" t="s">
        <v>178</v>
      </c>
      <c r="C9" s="45">
        <f>IF(QueryResult="NA",INDEX(Tbl_CityLookup[Wind Speed],LocNum)/1.609344,VALUE(INDEX(Tbl_QueryParsing[Value],MATCH(B9,Tbl_QueryParsing[Text],0))))</f>
        <v>5</v>
      </c>
      <c r="E9" t="s">
        <v>88</v>
      </c>
      <c r="F9" t="str">
        <f>TT!$O39</f>
        <v>Prague, Czech Republic</v>
      </c>
      <c r="G9">
        <v>2.67</v>
      </c>
      <c r="H9">
        <v>2.5099999999999998</v>
      </c>
      <c r="I9">
        <f>ROW()-ROW(Tbl_CityLookup[#Headers])</f>
        <v>7</v>
      </c>
      <c r="J9" t="s">
        <v>179</v>
      </c>
      <c r="K9" t="s">
        <v>167</v>
      </c>
      <c r="L9" t="s">
        <v>167</v>
      </c>
      <c r="M9" t="s">
        <v>167</v>
      </c>
      <c r="N9" t="s">
        <v>167</v>
      </c>
      <c r="P9">
        <f>ROW()-ROW(Tbl_QueryParsing[#Headers])</f>
        <v>7</v>
      </c>
      <c r="Q9" t="s">
        <v>143</v>
      </c>
      <c r="R9" t="s">
        <v>152</v>
      </c>
      <c r="U9">
        <f>IF(Tbl_QueryParsing[[#This Row],[ValEndChar]]="",0,SEARCH(Tbl_QueryParsing[[#This Row],[ValEndChar]],QueryResult,Tbl_QueryParsing[[#This Row],[SearchStart]]))</f>
        <v>0</v>
      </c>
      <c r="V9">
        <f>ROW()-ROW(Tbl_QueryParsing[#Headers])-1</f>
        <v>6</v>
      </c>
      <c r="W9">
        <f>IFERROR(INDEX(Tbl_QueryParsing[End],MATCH(Tbl_QueryParsing[[#This Row],[Precedent]],Tbl_QueryParsing[Row],0)),1)+Tbl_QueryParsing[[#This Row],[ValOffset]]</f>
        <v>7622</v>
      </c>
      <c r="X9">
        <f>IF(Tbl_QueryParsing[[#This Row],[Type]]="Text",SEARCH(Tbl_QueryParsing[[#This Row],[Text]],QueryResult,Tbl_QueryParsing[[#This Row],[SearchStart]]),Tbl_QueryParsing[[#This Row],[SearchStart]])</f>
        <v>7627</v>
      </c>
      <c r="Y9">
        <f>IF(Tbl_QueryParsing[[#This Row],[Type]]="Text",LEN(Tbl_QueryParsing[[#This Row],[Text]]),Tbl_QueryParsing[[#This Row],[EndCharLoc]]-Tbl_QueryParsing[[#This Row],[SearchStart]])</f>
        <v>5</v>
      </c>
      <c r="Z9">
        <f>Tbl_QueryParsing[[#This Row],[Loc]]+Tbl_QueryParsing[[#This Row],[Len]]</f>
        <v>7632</v>
      </c>
      <c r="AA9" t="str">
        <f>MID(QueryResult,Tbl_QueryParsing[[#This Row],[Loc]],Tbl_QueryParsing[[#This Row],[Len]])</f>
        <v>value</v>
      </c>
      <c r="AC9">
        <f>ROW()-ROW(Tbl_Beaufort[#Headers])-1</f>
        <v>6</v>
      </c>
      <c r="AD9" t="str">
        <f>TT!$O21</f>
        <v>Strong Breeze</v>
      </c>
      <c r="AE9" t="str">
        <f>TT!$O54</f>
        <v>Large branches in motion; whistling heard in telegraph.</v>
      </c>
      <c r="AF9">
        <v>39</v>
      </c>
      <c r="AG9">
        <v>50</v>
      </c>
      <c r="AH9" t="e">
        <f>IF(Tbl_Beaufort[[#This Row],[Beaufort num]]=BeaufortVal,1,NA())</f>
        <v>#N/A</v>
      </c>
      <c r="AI9" t="e">
        <f>IF(AND(Tbl_Beaufort[[#This Row],[Min]]&lt;=Wind_KPH,Tbl_Beaufort[[#This Row],[Max]]&gt;Wind_KPH),1,NA())</f>
        <v>#N/A</v>
      </c>
      <c r="AK9">
        <v>6</v>
      </c>
      <c r="AL9">
        <f>Tbl_GaugeLables[[#This Row],[Row]]*10</f>
        <v>60</v>
      </c>
      <c r="AM9">
        <f>MOD(210+360-Tbl_GaugeLables[[#This Row],[Val]]*2,360)</f>
        <v>90</v>
      </c>
      <c r="AN9">
        <f>RADIANS(Tbl_GaugeLables[[#This Row],[Angle]])</f>
        <v>1.5707963267948966</v>
      </c>
      <c r="AO9">
        <f>COS(Tbl_GaugeLables[[#This Row],[Radians]])</f>
        <v>6.1257422745431001E-17</v>
      </c>
      <c r="AP9">
        <f>SIN(Tbl_GaugeLables[[#This Row],[Radians]])</f>
        <v>1</v>
      </c>
    </row>
    <row r="10" spans="2:42">
      <c r="B10" t="s">
        <v>180</v>
      </c>
      <c r="C10" s="45">
        <f>MIN(Wind_MPH*1.609344,999)</f>
        <v>8.0467200000000005</v>
      </c>
      <c r="E10" t="s">
        <v>90</v>
      </c>
      <c r="F10" t="str">
        <f>TT!$O40</f>
        <v>Edinburg, Scotland</v>
      </c>
      <c r="G10">
        <v>2.42</v>
      </c>
      <c r="H10">
        <v>2.63</v>
      </c>
      <c r="I10">
        <f>ROW()-ROW(Tbl_CityLookup[#Headers])</f>
        <v>8</v>
      </c>
      <c r="J10" t="s">
        <v>181</v>
      </c>
      <c r="K10" t="s">
        <v>167</v>
      </c>
      <c r="L10" t="s">
        <v>167</v>
      </c>
      <c r="M10" t="s">
        <v>167</v>
      </c>
      <c r="N10" t="s">
        <v>167</v>
      </c>
      <c r="P10">
        <f>ROW()-ROW(Tbl_QueryParsing[#Headers])</f>
        <v>8</v>
      </c>
      <c r="Q10" t="s">
        <v>152</v>
      </c>
      <c r="R10" t="s">
        <v>178</v>
      </c>
      <c r="S10">
        <v>3</v>
      </c>
      <c r="T10" t="s">
        <v>174</v>
      </c>
      <c r="U10">
        <f>IF(Tbl_QueryParsing[[#This Row],[ValEndChar]]="",0,SEARCH(Tbl_QueryParsing[[#This Row],[ValEndChar]],QueryResult,Tbl_QueryParsing[[#This Row],[SearchStart]]))</f>
        <v>7636</v>
      </c>
      <c r="V10">
        <f>ROW()-ROW(Tbl_QueryParsing[#Headers])-1</f>
        <v>7</v>
      </c>
      <c r="W10">
        <f>IFERROR(INDEX(Tbl_QueryParsing[End],MATCH(Tbl_QueryParsing[[#This Row],[Precedent]],Tbl_QueryParsing[Row],0)),1)+Tbl_QueryParsing[[#This Row],[ValOffset]]</f>
        <v>7635</v>
      </c>
      <c r="X10">
        <f>IF(Tbl_QueryParsing[[#This Row],[Type]]="Text",SEARCH(Tbl_QueryParsing[[#This Row],[Text]],QueryResult,Tbl_QueryParsing[[#This Row],[SearchStart]]),Tbl_QueryParsing[[#This Row],[SearchStart]])</f>
        <v>7635</v>
      </c>
      <c r="Y10">
        <f>IF(Tbl_QueryParsing[[#This Row],[Type]]="Text",LEN(Tbl_QueryParsing[[#This Row],[Text]]),Tbl_QueryParsing[[#This Row],[EndCharLoc]]-Tbl_QueryParsing[[#This Row],[SearchStart]])</f>
        <v>1</v>
      </c>
      <c r="Z10">
        <f>Tbl_QueryParsing[[#This Row],[Loc]]+Tbl_QueryParsing[[#This Row],[Len]]</f>
        <v>7636</v>
      </c>
      <c r="AA10" t="str">
        <f>MID(QueryResult,Tbl_QueryParsing[[#This Row],[Loc]],Tbl_QueryParsing[[#This Row],[Len]])</f>
        <v>5</v>
      </c>
      <c r="AC10">
        <f>ROW()-ROW(Tbl_Beaufort[#Headers])-1</f>
        <v>7</v>
      </c>
      <c r="AD10" t="str">
        <f>TT!$O22</f>
        <v>Near Gale</v>
      </c>
      <c r="AE10" t="str">
        <f>TT!$O55</f>
        <v>Whole trees in motion; inconvenience felt when walking.</v>
      </c>
      <c r="AF10">
        <v>50</v>
      </c>
      <c r="AG10">
        <v>62</v>
      </c>
      <c r="AH10" t="e">
        <f>IF(Tbl_Beaufort[[#This Row],[Beaufort num]]=BeaufortVal,1,NA())</f>
        <v>#N/A</v>
      </c>
      <c r="AI10" t="e">
        <f>IF(AND(Tbl_Beaufort[[#This Row],[Min]]&lt;=Wind_KPH,Tbl_Beaufort[[#This Row],[Max]]&gt;Wind_KPH),1,NA())</f>
        <v>#N/A</v>
      </c>
      <c r="AK10">
        <v>7</v>
      </c>
      <c r="AL10">
        <f>Tbl_GaugeLables[[#This Row],[Row]]*10</f>
        <v>70</v>
      </c>
      <c r="AM10">
        <f>MOD(210+360-Tbl_GaugeLables[[#This Row],[Val]]*2,360)</f>
        <v>70</v>
      </c>
      <c r="AN10">
        <f>RADIANS(Tbl_GaugeLables[[#This Row],[Angle]])</f>
        <v>1.2217304763960306</v>
      </c>
      <c r="AO10">
        <f>COS(Tbl_GaugeLables[[#This Row],[Radians]])</f>
        <v>0.34202014332566882</v>
      </c>
      <c r="AP10">
        <f>SIN(Tbl_GaugeLables[[#This Row],[Radians]])</f>
        <v>0.93969262078590832</v>
      </c>
    </row>
    <row r="11" spans="2:42">
      <c r="B11" t="s">
        <v>142</v>
      </c>
      <c r="C11" s="44">
        <f ca="1">NOW()</f>
        <v>45252.481812731479</v>
      </c>
      <c r="E11" t="s">
        <v>92</v>
      </c>
      <c r="F11" t="str">
        <f>TT!$O41</f>
        <v>Rio de Janeiro, Brazil</v>
      </c>
      <c r="G11">
        <v>1.7</v>
      </c>
      <c r="H11">
        <v>1.1299999999999999</v>
      </c>
      <c r="I11">
        <f>ROW()-ROW(Tbl_CityLookup[#Headers])</f>
        <v>9</v>
      </c>
      <c r="J11" t="s">
        <v>182</v>
      </c>
      <c r="K11" t="s">
        <v>167</v>
      </c>
      <c r="L11" t="s">
        <v>167</v>
      </c>
      <c r="M11" t="s">
        <v>167</v>
      </c>
      <c r="N11" t="s">
        <v>167</v>
      </c>
      <c r="AC11">
        <f>ROW()-ROW(Tbl_Beaufort[#Headers])-1</f>
        <v>8</v>
      </c>
      <c r="AD11" t="str">
        <f>TT!$O23</f>
        <v>Gale</v>
      </c>
      <c r="AE11" t="str">
        <f>TT!$O56</f>
        <v>Breaks twigs off trees, generally impedes progress.</v>
      </c>
      <c r="AF11">
        <v>62</v>
      </c>
      <c r="AG11">
        <v>75</v>
      </c>
      <c r="AH11" t="e">
        <f>IF(Tbl_Beaufort[[#This Row],[Beaufort num]]=BeaufortVal,1,NA())</f>
        <v>#N/A</v>
      </c>
      <c r="AI11" t="e">
        <f>IF(AND(Tbl_Beaufort[[#This Row],[Min]]&lt;=Wind_KPH,Tbl_Beaufort[[#This Row],[Max]]&gt;Wind_KPH),1,NA())</f>
        <v>#N/A</v>
      </c>
      <c r="AK11">
        <v>8</v>
      </c>
      <c r="AL11">
        <f>Tbl_GaugeLables[[#This Row],[Row]]*10</f>
        <v>80</v>
      </c>
      <c r="AM11">
        <f>MOD(210+360-Tbl_GaugeLables[[#This Row],[Val]]*2,360)</f>
        <v>50</v>
      </c>
      <c r="AN11">
        <f>RADIANS(Tbl_GaugeLables[[#This Row],[Angle]])</f>
        <v>0.87266462599716477</v>
      </c>
      <c r="AO11">
        <f>COS(Tbl_GaugeLables[[#This Row],[Radians]])</f>
        <v>0.64278760968653936</v>
      </c>
      <c r="AP11">
        <f>SIN(Tbl_GaugeLables[[#This Row],[Radians]])</f>
        <v>0.76604444311897801</v>
      </c>
    </row>
    <row r="12" spans="2:42">
      <c r="E12" t="s">
        <v>94</v>
      </c>
      <c r="F12" t="str">
        <f>TT!$O42</f>
        <v>Rio Gallegos, Argentina</v>
      </c>
      <c r="G12">
        <v>1.38</v>
      </c>
      <c r="H12">
        <v>0.7</v>
      </c>
      <c r="I12">
        <f>ROW()-ROW(Tbl_CityLookup[#Headers])</f>
        <v>10</v>
      </c>
      <c r="J12" t="s">
        <v>162</v>
      </c>
      <c r="K12" t="s">
        <v>183</v>
      </c>
      <c r="L12" t="s">
        <v>184</v>
      </c>
      <c r="M12">
        <v>7.6384615384615371</v>
      </c>
      <c r="N12">
        <v>25.748999999999999</v>
      </c>
      <c r="AC12">
        <f>ROW()-ROW(Tbl_Beaufort[#Headers])-1</f>
        <v>9</v>
      </c>
      <c r="AD12" t="str">
        <f>TT!$O24</f>
        <v>Strong Gale</v>
      </c>
      <c r="AE12" t="str">
        <f>TT!$O57</f>
        <v>Slight structural damage occurs (chimney-pots and slates removed).</v>
      </c>
      <c r="AF12">
        <v>75</v>
      </c>
      <c r="AG12">
        <v>89</v>
      </c>
      <c r="AH12" t="e">
        <f>IF(Tbl_Beaufort[[#This Row],[Beaufort num]]=BeaufortVal,1,NA())</f>
        <v>#N/A</v>
      </c>
      <c r="AI12" t="e">
        <f>IF(AND(Tbl_Beaufort[[#This Row],[Min]]&lt;=Wind_KPH,Tbl_Beaufort[[#This Row],[Max]]&gt;Wind_KPH),1,NA())</f>
        <v>#N/A</v>
      </c>
      <c r="AK12">
        <v>9</v>
      </c>
      <c r="AL12">
        <f>Tbl_GaugeLables[[#This Row],[Row]]*10</f>
        <v>90</v>
      </c>
      <c r="AM12">
        <f>MOD(210+360-Tbl_GaugeLables[[#This Row],[Val]]*2,360)</f>
        <v>30</v>
      </c>
      <c r="AN12">
        <f>RADIANS(Tbl_GaugeLables[[#This Row],[Angle]])</f>
        <v>0.52359877559829882</v>
      </c>
      <c r="AO12">
        <f>COS(Tbl_GaugeLables[[#This Row],[Radians]])</f>
        <v>0.86602540378443871</v>
      </c>
      <c r="AP12">
        <f>SIN(Tbl_GaugeLables[[#This Row],[Radians]])</f>
        <v>0.49999999999999994</v>
      </c>
    </row>
    <row r="13" spans="2:42">
      <c r="B13" t="s">
        <v>185</v>
      </c>
      <c r="C13" s="47">
        <v>24</v>
      </c>
      <c r="E13" t="s">
        <v>96</v>
      </c>
      <c r="F13" t="str">
        <f>TT!$O43</f>
        <v>Mount Everest</v>
      </c>
      <c r="G13">
        <v>3.98</v>
      </c>
      <c r="H13">
        <v>2.11</v>
      </c>
      <c r="I13">
        <f>ROW()-ROW(Tbl_CityLookup[#Headers])</f>
        <v>11</v>
      </c>
      <c r="J13" t="s">
        <v>162</v>
      </c>
      <c r="K13" t="s">
        <v>183</v>
      </c>
      <c r="L13" t="s">
        <v>184</v>
      </c>
      <c r="M13">
        <v>-26</v>
      </c>
      <c r="N13">
        <v>46.1</v>
      </c>
      <c r="AC13">
        <f>ROW()-ROW(Tbl_Beaufort[#Headers])-1</f>
        <v>10</v>
      </c>
      <c r="AD13" t="str">
        <f>TT!$O25</f>
        <v>Storm</v>
      </c>
      <c r="AE13" t="str">
        <f>TT!$O58</f>
        <v>Trees uprooted; considerable damage occurs.</v>
      </c>
      <c r="AF13">
        <v>89</v>
      </c>
      <c r="AG13">
        <v>103</v>
      </c>
      <c r="AH13" t="e">
        <f>IF(Tbl_Beaufort[[#This Row],[Beaufort num]]=BeaufortVal,1,NA())</f>
        <v>#N/A</v>
      </c>
      <c r="AI13" t="e">
        <f>IF(AND(Tbl_Beaufort[[#This Row],[Min]]&lt;=Wind_KPH,Tbl_Beaufort[[#This Row],[Max]]&gt;Wind_KPH),1,NA())</f>
        <v>#N/A</v>
      </c>
      <c r="AK13">
        <v>10</v>
      </c>
      <c r="AL13">
        <f>Tbl_GaugeLables[[#This Row],[Row]]*10</f>
        <v>100</v>
      </c>
      <c r="AM13">
        <f>MOD(210+360-Tbl_GaugeLables[[#This Row],[Val]]*2,360)</f>
        <v>10</v>
      </c>
      <c r="AN13">
        <f>RADIANS(Tbl_GaugeLables[[#This Row],[Angle]])</f>
        <v>0.17453292519943295</v>
      </c>
      <c r="AO13">
        <f>COS(Tbl_GaugeLables[[#This Row],[Radians]])</f>
        <v>0.98480775301220802</v>
      </c>
      <c r="AP13">
        <f>SIN(Tbl_GaugeLables[[#This Row],[Radians]])</f>
        <v>0.17364817766693033</v>
      </c>
    </row>
    <row r="14" spans="2:42">
      <c r="B14" t="s">
        <v>186</v>
      </c>
      <c r="C14">
        <f>Device_d*PI()</f>
        <v>75.398223686155035</v>
      </c>
      <c r="E14" t="s">
        <v>98</v>
      </c>
      <c r="F14" t="str">
        <f>TT!$O44</f>
        <v>Wellington, New Zealand</v>
      </c>
      <c r="G14">
        <v>5.26</v>
      </c>
      <c r="H14">
        <v>0.72</v>
      </c>
      <c r="I14">
        <f>ROW()-ROW(Tbl_CityLookup[#Headers])</f>
        <v>12</v>
      </c>
      <c r="J14" t="s">
        <v>162</v>
      </c>
      <c r="K14" t="s">
        <v>183</v>
      </c>
      <c r="L14" t="s">
        <v>184</v>
      </c>
      <c r="M14">
        <v>12.66923076923077</v>
      </c>
      <c r="N14">
        <v>28.968</v>
      </c>
      <c r="AC14">
        <f>ROW()-ROW(Tbl_Beaufort[#Headers])-1</f>
        <v>11</v>
      </c>
      <c r="AD14" t="str">
        <f>TT!$O26</f>
        <v>Violent Storm</v>
      </c>
      <c r="AE14" t="str">
        <f>TT!$O59</f>
        <v>Violent, wide-spread damage.</v>
      </c>
      <c r="AF14">
        <v>103</v>
      </c>
      <c r="AG14">
        <v>118</v>
      </c>
      <c r="AH14" t="e">
        <f>IF(Tbl_Beaufort[[#This Row],[Beaufort num]]=BeaufortVal,1,NA())</f>
        <v>#N/A</v>
      </c>
      <c r="AI14" t="e">
        <f>IF(AND(Tbl_Beaufort[[#This Row],[Min]]&lt;=Wind_KPH,Tbl_Beaufort[[#This Row],[Max]]&gt;Wind_KPH),1,NA())</f>
        <v>#N/A</v>
      </c>
      <c r="AK14">
        <v>11</v>
      </c>
      <c r="AL14">
        <f>Tbl_GaugeLables[[#This Row],[Row]]*10</f>
        <v>110</v>
      </c>
      <c r="AM14">
        <f>MOD(210+360-Tbl_GaugeLables[[#This Row],[Val]]*2,360)</f>
        <v>350</v>
      </c>
      <c r="AN14">
        <f>RADIANS(Tbl_GaugeLables[[#This Row],[Angle]])</f>
        <v>6.1086523819801535</v>
      </c>
      <c r="AO14">
        <f>COS(Tbl_GaugeLables[[#This Row],[Radians]])</f>
        <v>0.98480775301220802</v>
      </c>
      <c r="AP14">
        <f>SIN(Tbl_GaugeLables[[#This Row],[Radians]])</f>
        <v>-0.17364817766693039</v>
      </c>
    </row>
    <row r="15" spans="2:42">
      <c r="B15" t="s">
        <v>187</v>
      </c>
      <c r="C15">
        <f>Wind_KPH*100000/60</f>
        <v>13411.2</v>
      </c>
      <c r="AC15">
        <f>ROW()-ROW(Tbl_Beaufort[#Headers])-1</f>
        <v>12</v>
      </c>
      <c r="AD15" t="str">
        <f>TT!$O27</f>
        <v>Hurricane Force</v>
      </c>
      <c r="AE15" t="str">
        <f>TT!$O60</f>
        <v>Violent, wide-spread damage.</v>
      </c>
      <c r="AF15">
        <v>118</v>
      </c>
      <c r="AG15">
        <v>999.99900000000002</v>
      </c>
      <c r="AH15" t="e">
        <f>IF(Tbl_Beaufort[[#This Row],[Beaufort num]]=BeaufortVal,1,NA())</f>
        <v>#N/A</v>
      </c>
      <c r="AI15" t="e">
        <f>IF(AND(Tbl_Beaufort[[#This Row],[Min]]&lt;=Wind_KPH,Tbl_Beaufort[[#This Row],[Max]]&gt;Wind_KPH),1,NA())</f>
        <v>#N/A</v>
      </c>
      <c r="AK15">
        <v>12</v>
      </c>
      <c r="AL15">
        <f>Tbl_GaugeLables[[#This Row],[Row]]*10</f>
        <v>120</v>
      </c>
      <c r="AM15">
        <f>MOD(210+360-Tbl_GaugeLables[[#This Row],[Val]]*2,360)</f>
        <v>330</v>
      </c>
      <c r="AN15">
        <f>RADIANS(Tbl_GaugeLables[[#This Row],[Angle]])</f>
        <v>5.7595865315812871</v>
      </c>
      <c r="AO15">
        <f>COS(Tbl_GaugeLables[[#This Row],[Radians]])</f>
        <v>0.86602540378443837</v>
      </c>
      <c r="AP15">
        <f>SIN(Tbl_GaugeLables[[#This Row],[Radians]])</f>
        <v>-0.50000000000000044</v>
      </c>
    </row>
    <row r="16" spans="2:42">
      <c r="B16" t="s">
        <v>105</v>
      </c>
      <c r="C16">
        <f>ROUND(Wind_cmPMin/Device_c,0)</f>
        <v>178</v>
      </c>
    </row>
    <row r="17" spans="2:28">
      <c r="B17" t="s">
        <v>188</v>
      </c>
      <c r="C17">
        <f>IFERROR(MATCH(1,Tbl_Beaufort[Val],0),1)-1</f>
        <v>2</v>
      </c>
    </row>
    <row r="18" spans="2:28">
      <c r="B18" t="s">
        <v>189</v>
      </c>
      <c r="C18" t="str">
        <f>INDEX(Tbl_Beaufort[Description],BeaufortVal+1)</f>
        <v>Light Breeze</v>
      </c>
      <c r="E18" s="78" t="str">
        <f>QueryResult</f>
        <v>{"_type": "SearchResponse", "instrumentation": {"_type": "ResponseInstrumentation", "pingUrlBase": "https:\/\/www.bingapis.com\/api\/ping?IG=1CD05836E1BD4C028C4E564C2DA963E6&amp;CID=1EE1B8411BC161A12438A8371A496058&amp;ID=", "pageLoadPingUrl": "https:\/\/www.bingapis.com\/api\/ping\/pageload?IG=1CD05836E1BD4C028C4E564C2DA963E6&amp;CID=1EE1B8411BC161A12438A8371A496058&amp;Type=Event.CPT&amp;DATA=0"}, "queryContext": {"originalQuery": "Seattleresponsefilter=weather"}, "webPages": {"webSearchUrl": "https:\/\/www.bing.com\/search?q=Seattleresponsefilter%3dweather", "webSearchUrlPingSuffix": "DevEx,5257.1", "totalEstimatedMatches": 46, "value": [{"id": "https:\/\/www.bingapis.com\/api\/v7\/#WebPages.0", "name": "Emergency and Survival | REI Co-op", "url": "https:\/\/www.rei.com\/c\/emergency-and-survival", "urlPingSuffix": "DevEx,5078.1", "isFamilyFriendly": true, "displayUrl": "https:\/\/www.rei.com\/c\/emergency-and-survival", "snippet": "Shop for Emergency and Survival at REI - FREE SHIPPING With $50 minimum purchase. Curbside Pickup Available NOW! 100% Satisfaction Guarantee", "dateLastCrawled": "2021-07-14T06:09:00.0000000Z", "language": "en", "isNavigational": false}, {"id": "https:\/\/www.bingapis.com\/api\/v7\/#WebPages.1", "name": "PLBs and Satellite Messengers | REI Co-op", "url": "https:\/\/www.rei.com\/c\/plbs-and-satellite-messengers", "urlPingSuffix": "DevEx,5094.1", "isFamilyFriendly": true, "displayUrl": "https:\/\/www.rei.com\/c\/plbs-and-satellite-messengers", "snippet": "Shop for PLBs and Satellite Messengers at REI - FREE SHIPPING With $50 minimum purchase. Curbside Pickup Available NOW! 100% Satisfaction Guarantee", "deepLinks": [{"name": "Garmin Inreach Mini 2-Way Satellite Communicator", "url": "https:\/\/www.rei.com\/product\/140110\/garmin-inreach-mini", "urlPingSuffix": "DevEx,5258.1"}, {"name": "Garmin Gpsmap 66I GPS and 2-Way Satellite Communicator", "url": "https:\/\/www.rei.com\/product\/163568\/garmin-gpsmap-66i", "urlPingSuffix": "DevEx,5259.1"}, {"name": "Spot Gen3 Satellite GPS Messenger", "url": "https:\/\/www.rei.com\/product\/860469\/spot-gen3-satellite-gps-messenger", "urlPingSuffix": "DevEx,5260.1"}, {"name": "Garmin Inreach Explorer+ 2-Way Satellite Communicator", "url": "https:\/\/www.rei.com\/product\/119863\/garmin-inreach-explorer", "urlPingSuffix": "DevEx,5261.1"}, {"name": "Spot X 2-Way Satellite Messenger With Bluetooth", "url": "https:\/\/www.rei.com\/product\/172306\/spot-x-with-bluetooth", "urlPingSuffix": "DevEx,5262.1"}], "dateLastCrawled": "2021-07-12T17:58:00.0000000Z", "language": "en", "isNavigational": false}, {"id": "https:\/\/www.bingapis.com\/api\/v7\/#WebPages.2", "name": "CBS News - Breaking news, 24\/7 live streaming news &amp; top ...", "url": "https:\/\/www.cbsnews.com\/", "urlPingSuffix": "DevEx,5111.1", "isFamilyFriendly": true, "displayUrl": "https:\/\/www.cbsnews.com", "snippet": "Watch CBSN the live news stream from CBS News and get the latest, breaking news headlines of the day for national news and world news today.", "dateLastCrawled": "2021-07-14T00:42:00.0000000Z", "language": "en", "isNavigational": false}, {"id": "https:\/\/www.bingapis.com\/api\/v7\/#WebPages.3", "name": "Investigation of the predictability and physical ...", "url": "https:\/\/agupubs.onlinelibrary.wiley.com\/doi\/full\/10.1002\/2015JD023584", "urlPingSuffix": "DevEx,5134.1", "isFamilyFriendly": true, "displayUrl": "https:\/\/agupubs.onlinelibrary.wiley.com\/doi\/full\/10.1002\/2015JD023584", "snippet": "Forecast uncertainties and physical mechanisms of a quasi-linear extreme-rain-producing mesoscale convective system (MCS) along the Meiyu front in East China, during the midnight-to-morning hours on 8 July 2007, are studied using ensembles of 24 h convection-permitting simulations with a nested grid spacing of 1.11 km.", "dateLastCrawled": "2021-07-09T12:39:00.0000000Z", "language": "en", "isNavigational": false}, {"id": "https:\/\/www.bingapis.com\/api\/v7\/#WebPages.4", "name": "@facebook | Twitter", "url": "https:\/\/twitter.com\/facebook", "urlPingSuffix": "DevEx,5147.1", "isFamilyFriendly": true, "displayUrl": "https:\/\/twitter.com\/facebook", "snippet": "The latest tweets from @facebook", "dateLastCrawled": "2021-03-30T14:08:00.0000000Z", "language": "en", "isNavigational": false}]}, "entities": {"readLink": "https:\/\/www.bingapis.com\/api\/v7\/entities\/search?q=Seattleresponsefilter=weather", "queryScenario": "Disambiguation", "value": [{"id": "https:\/\/www.bingapis.com\/api\/v7\/entities\/0a985fc5-6c6a-ff51-ed2c-b928b1cb09d2", "readLink": "https:\/\/www.bingapis.com\/api\/v7\/search?q=CBS+News+(Broadcast+Media)&amp;filters=sid:%220a985fc5-6c6a-ff51-ed2c-b928b1cb09d2%22&amp;responsefilter=entities,places", "readLinkPingSuffix": "DevEx,5263.1", "contractualRules": [{"_type": "ContractualRules\/LicenseAttribution", "targetPropertyName": "description", "mustBeCloseToContent": true, "license": {"name": "CC-BY-SA", "url": "http:\/\/creativecommons.org\/licenses\/by-sa\/3.0\/", "urlPingSuffix": "DevEx,5267.1"}, "licenseNotice": "Text under CC-BY-SA license"}, {"_type": "ContractualRules\/LinkAttribution", "targetPropertyName": "description", "mustBeCloseToContent": true, "text": "Wikipedia", "url": "http:\/\/en.wikipedia.org\/wiki\/CBS_News", "urlPingSuffix": "DevEx,5266.1"}, {"_type": "ContractualRules\/MediaAttribution", "targetPropertyName": "image", "mustBeCloseToContent": true, "url": "http:\/\/www.cbsnews.com\/", "urlPingSuffix": "DevEx,5265.1"}], "webSearchUrl": "https:\/\/www.bing.com\/search?q=cbs+news&amp;filters=ufn%3a%22cbs+news%22+sid%3a%220a985fc5-6c6a-ff51-ed2c-b928b1cb09d2%22&amp;FORM=SNAPST", "webSearchUrlPingSuffix": "DevEx,5235.1", "name": "CBS News (Broadcast Media)", "image": {"name": "CBS News", "thumbnailUrl": "https:\/\/www.bing.com\/th?id=AMMS_56a672dab9561fd2c331ce80add8ecf1&amp;w=72&amp;h=72&amp;c=7&amp;rs=1&amp;qlt=80&amp;cdv=1&amp;pid=16.1", "provider": [{"_type": "Organization", "url": "http:\/\/www.cbsnews.com\/", "urlPingSuffix": "DevEx,5265.1"}], "width": 72, "height": 72, "sourceWidth": 256, "sourceHeight": 256}, "description": "CBS News is the news division of the American television and radio service CBS. CBS News television programs include the CBS Evening News, CBS This Morning, news magazine programs CBS News Sunday Morning, 60 Minutes, and 48 Hours, and Sunday morning political affairs program Face the Nation. CBS News Radio produces hourly newscasts for hundreds of radio stations, and also oversees CBS News podcasts like The Takeout Podcast. CBS News also operates the 24-hour digital news network CBSN.", "entityPresentationInfo": {"entityScenario": "DisambiguationItem", "entityTypeHints": ["Organization"], "entityTypeDisplayHint": "Broadcast Media"}}]}, "weather": {"id": "https:\/\/www.bingapis.com\/api\/v7\/#Weather", "contractualRules": [{"_type": "ContractualRules\/LinkAttribution", "text": "Foreca", "url": "http:\/\/corporate.foreca.com\/en\/about-us", "urlPingSuffix": "DevEx,5256.1"}], "attributions": [{"provider": {"name": "Foreca", "url": "http:\/\/corporate.foreca.com\/en\/about-us", "urlPingSuffix": "DevEx,5256.1"}}], "location": {"name": "Seattle", "geo": {"latitude": 47.6032, "longitude": -122.3303}, "address": {"addressLocality": "Seattle", "addressRegion": "Washington", "addressCountry": "United States"}}, "currentWeather": {"image": {"url": "https:\/\/www.bing.com\/th?id=OBW.v1.Cloudy", "thumbnailUrl": "https:\/\/www.bing.com\/th?id=OBW.v1.Cloudy", "width": 75, "height": 75}, "conditionSummary": "Cloudy", "conditionDescription": "Cloudy", "temperature": {"value": 60, "unitText": "Fahrenheit"}, "precipitationChance": 30, "humidity": 78, "windSpeed": {"value": 5, "unitText": "MilesPerHour"}, "windDirection": {"value": 199, "unitText": "DegreesAzimuth"}, "date": "2021-07-16T00:00:00.0000000", "highTemperature": {"value": 70, "unitText": "Fahrenheit"}, "lowTemperature": {"value": 55, "unitText": "Fahrenheit"}, "sunrise": "2021-07-16T05:27:57.0000000", "sunset": "2021-07-16T21:02:16.0000000"}, "dailyForecast": [{"image": {"url": "https:\/\/www.bing.com\/th?id=OBW.v1.PartlyCloudyDay", "thumbnailUrl": "https:\/\/www.bing.com\/th?id=OBW.v1.PartlyCloudyDay", "width": 75, "height": 75}, "conditionSummary": "Clear", "conditionDescription": "Partly sunny", "precipitationChance": 0, "date": "2021-07-17T00:00:00.0000000", "highTemperature": {"value": 74, "unitText": "Fahrenheit"}, "lowTemperature": {"value": 54, "unitText": "Fahrenheit"}}, {"image": {"url": "https:\/\/www.bing.com\/th?id=OBW.v1.SunnyDay", "thumbnailUrl": "https:\/\/www.bing.com\/th?id=OBW.v1.SunnyDay", "width": 75, "height": 75}, "conditionSummary": "Sunny", "conditionDescription": "Sunny", "precipitationChance": 0, "date": "2021-07-18T00:00:00.0000000", "highTemperature": {"value": 77, "unitText": "Fahrenheit"}, "lowTemperature": {"value": 55, "unitText": "Fahrenheit"}}, {"image": {"url": "https:\/\/www.bing.com\/th?id=OBW.v1.SunnyDay", "thumbnailUrl": "https:\/\/www.bing.com\/th?id=OBW.v1.SunnyDay", "width": 75, "height": 75}, "conditionSummary": "Sunny", "conditionDescription": "Sunny", "precipitationChance": 0, "date": "2021-07-19T00:00:00.0000000", "highTemperature": {"value": 78, "unitText": "Fahrenheit"}, "lowTemperature": {"value": 56, "unitText": "Fahrenheit"}}, {"image": {"url": "https:\/\/www.bing.com\/th?id=OBW.v1.SunnyDay", "thumbnailUrl": "https:\/\/www.bing.com\/th?id=OBW.v1.SunnyDay", "width": 75, "height": 75}, "conditionSummary": "Sunny", "conditionDescription": "Sunny", "precipitationChance": 0, "date": "2021-07-20T00:00:00.0000000", "highTemperature": {"value": 76, "unitText": "Fahrenheit"}, "lowTemperature": {"value": 54, "unitText": "Fahrenheit"}}, {"image": {"url": "https:\/\/www.bing.com\/th?id=OBW.v1.SunnyDay", "thumbnailUrl": "https:\/\/www.bing.com\/th?id=OBW.v1.SunnyDay", "width": 75, "height": 75}, "conditionSummary": "Sunny", "conditionDescription": "Sunny", "precipitationChance": 2, "date": "2021-07-21T00:00:00.0000000", "highTemperature": {"value": 73, "unitText": "Fahrenheit"}, "lowTemperature": {"value": 54, "unitText": "Fahrenheit"}}, {"image": {"url": "https:\/\/www.bing.com\/th?id=OBW.v1.SunnyDay", "thumbnailUrl": "https:\/\/www.bing.com\/th?id=OBW.v1.SunnyDay", "width": 75, "height": 75}, "conditionSummary": "Sunny", "conditionDescription": "Sunny", "precipitationChance": 2, "date": "2021-07-22T00:00:00.0000000", "highTemperature": {"value": 74, "unitText": "Fahrenheit"}, "lowTemperature": {"value": 56, "unitText": "Fahrenheit"}}, {"image": {"url": "https:\/\/www.bing.com\/th?id=OBW.v1.SunnyDay", "thumbnailUrl": "https:\/\/www.bing.com\/th?id=OBW.v1.SunnyDay", "width": 75, "height": 75}, "conditionSummary": "Sunny", "conditionDescription": "Sunny", "precipitationChance": 2, "date": "2021-07-23T00:00:00.0000000", "highTemperature": {"value": 77, "unitText": "Fahrenheit"}, "lowTemperature": {"value": 58, "unitText": "Fahrenheit"}}, {"image": {"url": "https:\/\/www.bing.com\/th?id=OBW.v1.SunnyDay", "thumbnailUrl": "https:\/\/www.bing.com\/th?id=OBW.v1.SunnyDay", "width": 75, "height": 75}, "conditionSummary": "Sunny", "conditionDescription": "Sunny", "precipitationChance": 3, "date": "2021-07-24T00:00:00.0000000", "highTemperature": {"value": 78, "unitText": "Fahrenheit"}, "lowTemperature": {"value": 59, "unitText": "Fahrenheit"}}, {"image": {"url": "https:\/\/www.bing.com\/th?id=OBW.v1.SunnyDay", "thumbnailUrl": "https:\/\/www.bing.com\/th?id=OBW.v1.SunnyDay", "width": 75, "height": 75}, "conditionSummary": "Sunny", "conditionDescription": "Sunny", "precipitationChance": 2, "date": "2021-07-25T00:00:00.0000000", "highTemperature": {"value": 75, "unitText": "Fahrenheit"}, "lowTemperature": {"value": 59, "unitText": "Fahrenheit"}}]}, "rankingResponse": {"mainline": {"items": [{"answerType": "Weather", "value": {"id": "https:\/\/www.bingapis.com\/api\/v7\/#Weather"}}, {"answerType": "WebPages", "resultIndex": 0, "value": {"id": "https:\/\/www.bingapis.com\/api\/v7\/#WebPages.0"}}, {"answerType": "WebPages", "resultIndex": 1, "value": {"id": "https:\/\/www.bingapis.com\/api\/v7\/#WebPages.1"}}, {"answerType": "WebPages", "resultIndex": 2, "value": {"id": "https:\/\/www.bingapis.com\/api\/v7\/#WebPages.2"}}, {"answerType": "WebPages", "resultIndex": 3, "value": {"id": "https:\/\/www.bingapis.com\/api\/v7\/#WebPages.3"}}, {"answerType": "WebPages", "resultIndex": 4, "value": {"id": "https:\/\/www.bingapis.com\/api\/v7\/#WebPages.4"}}, {"answerType": "BingGlobal"}]}, "sidebar": {"items": [{"answerType": "Entities", "resultIndex": 0, "value": {"id": "https:\/\/www.bingapis.com\/api\/v7\/entities\/0a985fc5-6c6a-ff51-ed2c-b928b1cb09d2"}}]}, "pagination": {"items": [{"answerType": "Pagination", "value": {"id": "https:\/\/www.bingapis.com\/api\/v7\/#Pagination"}}]}}, "pagination": {"id": "https:\/\/www.bingapis.com\/api\/v7\/#Pagination", "currentPageNumber": 1, "nextPage": {"pageNumber": 2, "offset": 5}, "paginationLinks": [{"pageNumber": 1, "offset": 0}, {"pageNumber": 2, "offset": 5}, {"pageNumber": 3, "offset": 15}, {"pageNumber": 4, "offset": 25}, {"pageNumber": 5, "offset": 35}]}}</v>
      </c>
      <c r="F18" s="78"/>
      <c r="G18" s="78"/>
      <c r="H18" s="78"/>
      <c r="I18" s="78"/>
      <c r="J18" s="78"/>
    </row>
    <row r="19" spans="2:28">
      <c r="B19" t="s">
        <v>190</v>
      </c>
      <c r="C19" s="45">
        <f>MAX(MIN(TempVal_C,MaxTemp),0)</f>
        <v>15.555555555555555</v>
      </c>
      <c r="E19" s="78"/>
      <c r="F19" s="78"/>
      <c r="G19" s="78"/>
      <c r="H19" s="78"/>
      <c r="I19" s="78"/>
      <c r="J19" s="78"/>
    </row>
    <row r="20" spans="2:28">
      <c r="B20" t="s">
        <v>191</v>
      </c>
      <c r="C20" s="45">
        <f>MaxTemp-TempC</f>
        <v>24.444444444444443</v>
      </c>
      <c r="E20" s="78"/>
      <c r="F20" s="78"/>
      <c r="G20" s="78"/>
      <c r="H20" s="78"/>
      <c r="I20" s="78"/>
      <c r="J20" s="78"/>
      <c r="X20" t="s">
        <v>192</v>
      </c>
      <c r="Y20">
        <v>70</v>
      </c>
      <c r="AA20" t="s">
        <v>193</v>
      </c>
      <c r="AB20">
        <f>Y20</f>
        <v>70</v>
      </c>
    </row>
    <row r="21" spans="2:28">
      <c r="B21" t="s">
        <v>194</v>
      </c>
      <c r="C21" s="54">
        <f>MAX(MIN(Wind_KPH,120),0.4)</f>
        <v>8.0467200000000005</v>
      </c>
      <c r="E21" s="78"/>
      <c r="F21" s="78"/>
      <c r="G21" s="78"/>
      <c r="H21" s="78"/>
      <c r="I21" s="78"/>
      <c r="J21" s="78"/>
      <c r="AA21" t="s">
        <v>195</v>
      </c>
      <c r="AB21">
        <f>Y23-Y20</f>
        <v>30</v>
      </c>
    </row>
    <row r="22" spans="2:28">
      <c r="B22" t="s">
        <v>196</v>
      </c>
      <c r="C22" s="54">
        <f>180-C21</f>
        <v>171.95328000000001</v>
      </c>
      <c r="E22" s="78"/>
      <c r="F22" s="78"/>
      <c r="G22" s="78"/>
      <c r="H22" s="78"/>
      <c r="I22" s="78"/>
      <c r="J22" s="78"/>
    </row>
    <row r="23" spans="2:28">
      <c r="B23" t="s">
        <v>197</v>
      </c>
      <c r="C23">
        <f>INDEX(Tbl_CityLookup[X],LocNum)</f>
        <v>0.48</v>
      </c>
      <c r="E23" s="78"/>
      <c r="F23" s="78"/>
      <c r="G23" s="78"/>
      <c r="H23" s="78"/>
      <c r="I23" s="78"/>
      <c r="J23" s="78"/>
      <c r="X23" t="s">
        <v>156</v>
      </c>
      <c r="Y23">
        <v>100</v>
      </c>
    </row>
    <row r="24" spans="2:28">
      <c r="B24" t="s">
        <v>198</v>
      </c>
      <c r="C24">
        <f>INDEX(Tbl_CityLookup[Y],LocNum)+0.12</f>
        <v>2.62</v>
      </c>
      <c r="E24" s="78"/>
      <c r="F24" s="78"/>
      <c r="G24" s="78"/>
      <c r="H24" s="78"/>
      <c r="I24" s="78"/>
      <c r="J24" s="78"/>
    </row>
    <row r="25" spans="2:28">
      <c r="B25" t="s">
        <v>199</v>
      </c>
      <c r="C25" t="str">
        <f>INDEX(Tbl_CityLookup[CityTranslated],LocNum)</f>
        <v>Seattle, USA</v>
      </c>
      <c r="E25" s="78"/>
      <c r="F25" s="78"/>
      <c r="G25" s="78"/>
      <c r="H25" s="78"/>
      <c r="I25" s="78"/>
      <c r="J25" s="78"/>
    </row>
    <row r="26" spans="2:28">
      <c r="B26" t="s">
        <v>200</v>
      </c>
      <c r="C26">
        <v>1</v>
      </c>
      <c r="D26" s="55" t="s">
        <v>201</v>
      </c>
      <c r="E26" s="78"/>
      <c r="F26" s="78"/>
      <c r="G26" s="78"/>
      <c r="H26" s="78"/>
      <c r="I26" s="78"/>
      <c r="J26" s="78"/>
    </row>
    <row r="27" spans="2:28">
      <c r="B27" t="s">
        <v>202</v>
      </c>
      <c r="C27">
        <f>WindSimToggle*MIN(MAX(Wind_KPH*10,80),255)</f>
        <v>80.467200000000005</v>
      </c>
      <c r="D27" s="55" t="s">
        <v>203</v>
      </c>
      <c r="E27" s="78"/>
      <c r="F27" s="78"/>
      <c r="G27" s="78"/>
      <c r="H27" s="78"/>
      <c r="I27" s="78"/>
      <c r="J27" s="78"/>
    </row>
    <row r="28" spans="2:28">
      <c r="E28" s="78"/>
      <c r="F28" s="78"/>
      <c r="G28" s="78"/>
      <c r="H28" s="78"/>
      <c r="I28" s="78"/>
      <c r="J28" s="78"/>
    </row>
    <row r="29" spans="2:28">
      <c r="E29" s="78"/>
      <c r="F29" s="78"/>
      <c r="G29" s="78"/>
      <c r="H29" s="78"/>
      <c r="I29" s="78"/>
      <c r="J29" s="78"/>
    </row>
    <row r="30" spans="2:28">
      <c r="E30" s="78"/>
      <c r="F30" s="78"/>
      <c r="G30" s="78"/>
      <c r="H30" s="78"/>
      <c r="I30" s="78"/>
      <c r="J30" s="78"/>
    </row>
    <row r="31" spans="2:28">
      <c r="E31" s="78"/>
      <c r="F31" s="78"/>
      <c r="G31" s="78"/>
      <c r="H31" s="78"/>
      <c r="I31" s="78"/>
      <c r="J31" s="78"/>
    </row>
    <row r="32" spans="2:28">
      <c r="E32" s="78"/>
      <c r="F32" s="78"/>
      <c r="G32" s="78"/>
      <c r="H32" s="78"/>
      <c r="I32" s="78"/>
      <c r="J32" s="78"/>
    </row>
    <row r="33" spans="5:10">
      <c r="E33" s="78"/>
      <c r="F33" s="78"/>
      <c r="G33" s="78"/>
      <c r="H33" s="78"/>
      <c r="I33" s="78"/>
      <c r="J33" s="78"/>
    </row>
    <row r="34" spans="5:10">
      <c r="E34" s="78"/>
      <c r="F34" s="78"/>
      <c r="G34" s="78"/>
      <c r="H34" s="78"/>
      <c r="I34" s="78"/>
      <c r="J34" s="78"/>
    </row>
    <row r="35" spans="5:10">
      <c r="E35" s="78"/>
      <c r="F35" s="78"/>
      <c r="G35" s="78"/>
      <c r="H35" s="78"/>
      <c r="I35" s="78"/>
      <c r="J35" s="78"/>
    </row>
    <row r="36" spans="5:10">
      <c r="E36" s="78"/>
      <c r="F36" s="78"/>
      <c r="G36" s="78"/>
      <c r="H36" s="78"/>
      <c r="I36" s="78"/>
      <c r="J36" s="78"/>
    </row>
    <row r="37" spans="5:10">
      <c r="E37" s="78"/>
      <c r="F37" s="78"/>
      <c r="G37" s="78"/>
      <c r="H37" s="78"/>
      <c r="I37" s="78"/>
      <c r="J37" s="78"/>
    </row>
    <row r="38" spans="5:10">
      <c r="E38" s="78"/>
      <c r="F38" s="78"/>
      <c r="G38" s="78"/>
      <c r="H38" s="78"/>
      <c r="I38" s="78"/>
      <c r="J38" s="78"/>
    </row>
    <row r="39" spans="5:10">
      <c r="E39" s="78"/>
      <c r="F39" s="78"/>
      <c r="G39" s="78"/>
      <c r="H39" s="78"/>
      <c r="I39" s="78"/>
      <c r="J39" s="78"/>
    </row>
    <row r="40" spans="5:10">
      <c r="E40" s="78"/>
      <c r="F40" s="78"/>
      <c r="G40" s="78"/>
      <c r="H40" s="78"/>
      <c r="I40" s="78"/>
      <c r="J40" s="78"/>
    </row>
    <row r="41" spans="5:10">
      <c r="E41" s="78"/>
      <c r="F41" s="78"/>
      <c r="G41" s="78"/>
      <c r="H41" s="78"/>
      <c r="I41" s="78"/>
      <c r="J41" s="78"/>
    </row>
    <row r="42" spans="5:10">
      <c r="E42" s="78"/>
      <c r="F42" s="78"/>
      <c r="G42" s="78"/>
      <c r="H42" s="78"/>
      <c r="I42" s="78"/>
      <c r="J42" s="78"/>
    </row>
    <row r="43" spans="5:10">
      <c r="E43" s="78"/>
      <c r="F43" s="78"/>
      <c r="G43" s="78"/>
      <c r="H43" s="78"/>
      <c r="I43" s="78"/>
      <c r="J43" s="78"/>
    </row>
    <row r="44" spans="5:10">
      <c r="E44" s="78"/>
      <c r="F44" s="78"/>
      <c r="G44" s="78"/>
      <c r="H44" s="78"/>
      <c r="I44" s="78"/>
      <c r="J44" s="78"/>
    </row>
    <row r="45" spans="5:10">
      <c r="E45" s="78"/>
      <c r="F45" s="78"/>
      <c r="G45" s="78"/>
      <c r="H45" s="78"/>
      <c r="I45" s="78"/>
      <c r="J45" s="78"/>
    </row>
  </sheetData>
  <mergeCells count="1">
    <mergeCell ref="E18:J45"/>
  </mergeCells>
  <phoneticPr fontId="30" type="noConversion"/>
  <pageMargins left="0.7" right="0.7" top="0.75" bottom="0.75" header="0.3" footer="0.3"/>
  <pageSetup orientation="portrait"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10D3C-EE6E-4B3E-B1B1-463FF1C06247}">
  <sheetPr codeName="Sheet3"/>
  <dimension ref="A1:M23"/>
  <sheetViews>
    <sheetView workbookViewId="0">
      <selection sqref="A1:J1"/>
    </sheetView>
  </sheetViews>
  <sheetFormatPr defaultColWidth="9" defaultRowHeight="15.95" customHeight="1"/>
  <cols>
    <col min="1" max="1" width="15.625" style="17" customWidth="1"/>
    <col min="2" max="6" width="15" style="7" customWidth="1"/>
    <col min="7" max="16384" width="9" style="7"/>
  </cols>
  <sheetData>
    <row r="1" spans="1:13" ht="39.950000000000003" customHeight="1">
      <c r="A1" s="79" t="s">
        <v>204</v>
      </c>
      <c r="B1" s="79"/>
      <c r="C1" s="79"/>
      <c r="D1" s="79"/>
      <c r="E1" s="79"/>
      <c r="F1" s="79"/>
      <c r="G1" s="79"/>
      <c r="H1" s="79"/>
      <c r="I1" s="79"/>
      <c r="J1" s="79"/>
      <c r="K1" s="8" t="s">
        <v>205</v>
      </c>
    </row>
    <row r="2" spans="1:13" ht="32.1" customHeight="1">
      <c r="A2" s="80" t="s">
        <v>206</v>
      </c>
      <c r="B2" s="80"/>
      <c r="C2" s="80"/>
      <c r="D2" s="80"/>
      <c r="E2" s="80"/>
      <c r="F2" s="80"/>
      <c r="G2" s="80"/>
      <c r="H2" s="80"/>
      <c r="I2" s="80"/>
      <c r="J2" s="80"/>
    </row>
    <row r="3" spans="1:13" ht="33.6" customHeight="1">
      <c r="A3" s="81" t="s">
        <v>207</v>
      </c>
      <c r="B3" s="81"/>
      <c r="C3" s="81"/>
      <c r="D3" s="81"/>
      <c r="E3" s="81"/>
      <c r="F3" s="81"/>
      <c r="G3" s="24"/>
      <c r="H3" s="24"/>
      <c r="I3" s="24"/>
      <c r="J3" s="24"/>
      <c r="K3" s="24"/>
    </row>
    <row r="4" spans="1:13" s="10" customFormat="1" ht="16.5">
      <c r="A4" s="42" t="s">
        <v>208</v>
      </c>
      <c r="B4" s="11" t="s">
        <v>71</v>
      </c>
      <c r="C4" s="11" t="s">
        <v>105</v>
      </c>
      <c r="D4" s="11" t="s">
        <v>209</v>
      </c>
      <c r="E4" s="11" t="s">
        <v>210</v>
      </c>
      <c r="F4" s="12" t="s">
        <v>211</v>
      </c>
      <c r="G4" s="7"/>
      <c r="H4" s="7"/>
      <c r="I4" s="7"/>
      <c r="J4" s="7"/>
      <c r="K4" s="7"/>
      <c r="L4" s="7"/>
      <c r="M4" s="7"/>
    </row>
    <row r="5" spans="1:13" s="14" customFormat="1" ht="27" customHeight="1" thickBot="1">
      <c r="A5" s="16"/>
      <c r="B5" s="15"/>
      <c r="C5" s="15"/>
      <c r="D5" s="15"/>
      <c r="E5" s="15"/>
      <c r="F5" s="15"/>
      <c r="G5" s="7"/>
      <c r="H5" s="7"/>
      <c r="I5" s="7"/>
      <c r="J5" s="7"/>
      <c r="K5" s="7"/>
      <c r="L5" s="7"/>
      <c r="M5" s="7"/>
    </row>
    <row r="6" spans="1:13" ht="33.6" customHeight="1" thickTop="1">
      <c r="A6" s="82" t="s">
        <v>212</v>
      </c>
      <c r="B6" s="82"/>
      <c r="C6" s="82"/>
      <c r="D6" s="82"/>
      <c r="E6" s="82"/>
      <c r="F6" s="82"/>
    </row>
    <row r="7" spans="1:13" s="10" customFormat="1" ht="16.5">
      <c r="A7" s="43" t="str">
        <f>IF(A4="","",A4)</f>
        <v>Time</v>
      </c>
      <c r="B7" s="36" t="str">
        <f t="shared" ref="B7:F7" si="0">IF(B4="","",B4)</f>
        <v>Wind Speed</v>
      </c>
      <c r="C7" s="36" t="str">
        <f t="shared" si="0"/>
        <v>RPM</v>
      </c>
      <c r="D7" s="36" t="str">
        <f t="shared" si="0"/>
        <v>Time Interval</v>
      </c>
      <c r="E7" s="36" t="str">
        <f t="shared" si="0"/>
        <v>Temp (°C)</v>
      </c>
      <c r="F7" s="36" t="str">
        <f t="shared" si="0"/>
        <v>Temp (°F)</v>
      </c>
      <c r="G7" s="7"/>
      <c r="H7" s="7"/>
      <c r="I7" s="7"/>
      <c r="J7" s="7"/>
      <c r="K7" s="7"/>
      <c r="L7" s="7"/>
      <c r="M7" s="7"/>
    </row>
    <row r="8" spans="1:13" ht="19.5" customHeight="1" thickBot="1">
      <c r="A8" s="38"/>
      <c r="B8" s="39"/>
      <c r="C8" s="39"/>
      <c r="D8" s="39"/>
      <c r="E8" s="39"/>
      <c r="F8" s="40"/>
    </row>
    <row r="9" spans="1:13" ht="19.5" customHeight="1" thickTop="1">
      <c r="A9" s="37"/>
      <c r="B9" s="35"/>
      <c r="C9" s="35"/>
      <c r="D9" s="35"/>
      <c r="E9" s="35"/>
      <c r="F9" s="35"/>
      <c r="G9" s="35"/>
      <c r="H9" s="35"/>
      <c r="I9" s="35"/>
      <c r="J9" s="35"/>
      <c r="K9" s="35"/>
      <c r="L9" s="9"/>
    </row>
    <row r="10" spans="1:13" ht="19.5" customHeight="1">
      <c r="A10" s="37"/>
      <c r="B10" s="35"/>
      <c r="C10" s="35"/>
      <c r="D10" s="35"/>
      <c r="E10" s="35"/>
      <c r="F10" s="35"/>
      <c r="G10" s="35"/>
      <c r="H10" s="35"/>
      <c r="I10" s="35"/>
      <c r="J10" s="35"/>
      <c r="K10" s="35"/>
      <c r="L10" s="9"/>
    </row>
    <row r="11" spans="1:13" ht="19.5" customHeight="1">
      <c r="A11" s="37"/>
      <c r="B11" s="35"/>
      <c r="C11" s="35"/>
      <c r="D11" s="35"/>
      <c r="E11" s="35"/>
      <c r="F11" s="35"/>
      <c r="G11" s="35"/>
      <c r="H11" s="35"/>
      <c r="I11" s="35"/>
      <c r="J11" s="35"/>
      <c r="K11" s="35"/>
      <c r="L11" s="9"/>
    </row>
    <row r="12" spans="1:13" ht="19.5" customHeight="1">
      <c r="A12" s="37"/>
      <c r="B12" s="35"/>
      <c r="C12" s="35"/>
      <c r="D12" s="35"/>
      <c r="E12" s="35"/>
      <c r="F12" s="35"/>
      <c r="G12" s="35"/>
      <c r="H12" s="35"/>
      <c r="I12" s="35"/>
      <c r="J12" s="35"/>
      <c r="K12" s="35"/>
      <c r="L12" s="9"/>
    </row>
    <row r="13" spans="1:13" ht="19.5" customHeight="1">
      <c r="A13" s="37"/>
      <c r="B13" s="35"/>
      <c r="C13" s="35"/>
      <c r="D13" s="35"/>
      <c r="E13" s="35"/>
      <c r="F13" s="35"/>
      <c r="G13" s="35"/>
      <c r="H13" s="35"/>
      <c r="I13" s="35"/>
      <c r="J13" s="35"/>
      <c r="K13" s="35"/>
      <c r="L13" s="9"/>
    </row>
    <row r="14" spans="1:13" ht="19.5" customHeight="1">
      <c r="A14" s="37"/>
      <c r="B14" s="35"/>
      <c r="C14" s="35"/>
      <c r="D14" s="35"/>
      <c r="E14" s="35"/>
      <c r="F14" s="35"/>
      <c r="G14" s="35"/>
      <c r="H14" s="35"/>
      <c r="I14" s="35"/>
      <c r="J14" s="35"/>
      <c r="K14" s="35"/>
      <c r="L14" s="9"/>
    </row>
    <row r="15" spans="1:13" ht="19.5" customHeight="1">
      <c r="A15" s="37"/>
      <c r="B15" s="35"/>
      <c r="C15" s="35"/>
      <c r="D15" s="35"/>
      <c r="E15" s="35"/>
      <c r="F15" s="35"/>
      <c r="G15" s="35"/>
      <c r="H15" s="35"/>
      <c r="I15" s="35"/>
      <c r="J15" s="35"/>
      <c r="K15" s="35"/>
      <c r="L15" s="9"/>
    </row>
    <row r="16" spans="1:13" ht="19.5" customHeight="1">
      <c r="A16" s="37"/>
      <c r="B16" s="35"/>
      <c r="C16" s="35"/>
      <c r="D16" s="35"/>
      <c r="E16" s="35"/>
      <c r="F16" s="35"/>
      <c r="G16" s="35"/>
      <c r="H16" s="35"/>
      <c r="I16" s="35"/>
      <c r="J16" s="35"/>
      <c r="K16" s="35"/>
      <c r="L16" s="9"/>
    </row>
    <row r="17" spans="1:12" ht="19.5" customHeight="1">
      <c r="A17" s="37"/>
      <c r="B17" s="35"/>
      <c r="C17" s="35"/>
      <c r="D17" s="35"/>
      <c r="E17" s="35"/>
      <c r="F17" s="35"/>
      <c r="G17" s="35"/>
      <c r="H17" s="35"/>
      <c r="I17" s="35"/>
      <c r="J17" s="35"/>
      <c r="K17" s="35"/>
      <c r="L17" s="9"/>
    </row>
    <row r="18" spans="1:12" ht="19.5" customHeight="1">
      <c r="A18" s="37"/>
      <c r="B18" s="35"/>
      <c r="C18" s="35"/>
      <c r="D18" s="35"/>
      <c r="E18" s="35"/>
      <c r="F18" s="35"/>
      <c r="G18" s="35"/>
      <c r="H18" s="35"/>
      <c r="I18" s="35"/>
      <c r="J18" s="35"/>
      <c r="K18" s="35"/>
      <c r="L18" s="9"/>
    </row>
    <row r="19" spans="1:12" ht="19.5" customHeight="1">
      <c r="A19" s="37"/>
      <c r="B19" s="35"/>
      <c r="C19" s="35"/>
      <c r="D19" s="35"/>
      <c r="E19" s="35"/>
      <c r="F19" s="35"/>
      <c r="G19" s="35"/>
      <c r="H19" s="35"/>
      <c r="I19" s="35"/>
      <c r="J19" s="35"/>
      <c r="K19" s="35"/>
      <c r="L19" s="9"/>
    </row>
    <row r="20" spans="1:12" ht="19.5" customHeight="1">
      <c r="A20" s="37"/>
      <c r="B20" s="35"/>
      <c r="C20" s="35"/>
      <c r="D20" s="35"/>
      <c r="E20" s="35"/>
      <c r="F20" s="35"/>
      <c r="G20" s="35"/>
      <c r="H20" s="35"/>
      <c r="I20" s="35"/>
      <c r="J20" s="35"/>
      <c r="K20" s="35"/>
      <c r="L20" s="9"/>
    </row>
    <row r="21" spans="1:12" ht="19.5" customHeight="1">
      <c r="A21" s="37"/>
      <c r="B21" s="35"/>
      <c r="C21" s="35"/>
      <c r="D21" s="35"/>
      <c r="E21" s="35"/>
      <c r="F21" s="35"/>
      <c r="G21" s="35"/>
      <c r="H21" s="35"/>
      <c r="I21" s="35"/>
      <c r="J21" s="35"/>
      <c r="K21" s="35"/>
      <c r="L21" s="9"/>
    </row>
    <row r="22" spans="1:12" ht="19.5" customHeight="1">
      <c r="A22" s="37"/>
      <c r="B22" s="35"/>
      <c r="C22" s="35"/>
      <c r="D22" s="35"/>
      <c r="E22" s="35"/>
      <c r="F22" s="35"/>
      <c r="G22" s="35"/>
      <c r="H22" s="35"/>
      <c r="I22" s="35"/>
      <c r="J22" s="35"/>
      <c r="K22" s="35"/>
      <c r="L22" s="18"/>
    </row>
    <row r="23" spans="1:12" ht="19.5" customHeight="1">
      <c r="B23" s="9"/>
      <c r="C23" s="9"/>
      <c r="D23" s="9"/>
      <c r="E23" s="9"/>
      <c r="F23" s="9"/>
      <c r="G23" s="9"/>
      <c r="H23" s="9"/>
      <c r="I23" s="9"/>
      <c r="J23" s="9"/>
      <c r="K23" s="9"/>
      <c r="L23" s="9"/>
    </row>
  </sheetData>
  <mergeCells count="4">
    <mergeCell ref="A1:J1"/>
    <mergeCell ref="A2:J2"/>
    <mergeCell ref="A3:F3"/>
    <mergeCell ref="A6:F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631D6-9D71-470C-B72B-3A5F8E70FC3F}">
  <sheetPr codeName="Sheet4"/>
  <dimension ref="A1:K6"/>
  <sheetViews>
    <sheetView workbookViewId="0">
      <selection sqref="A1:J1"/>
    </sheetView>
  </sheetViews>
  <sheetFormatPr defaultColWidth="11.5" defaultRowHeight="16.5"/>
  <cols>
    <col min="1" max="16384" width="11.5" style="7"/>
  </cols>
  <sheetData>
    <row r="1" spans="1:11" ht="39.950000000000003" customHeight="1">
      <c r="A1" s="79" t="s">
        <v>213</v>
      </c>
      <c r="B1" s="79"/>
      <c r="C1" s="79"/>
      <c r="D1" s="79"/>
      <c r="E1" s="79"/>
      <c r="F1" s="79"/>
      <c r="G1" s="79"/>
      <c r="H1" s="79"/>
      <c r="I1" s="79"/>
      <c r="J1" s="79"/>
      <c r="K1" s="8" t="s">
        <v>205</v>
      </c>
    </row>
    <row r="2" spans="1:11" ht="32.1" customHeight="1">
      <c r="A2" s="80" t="s">
        <v>214</v>
      </c>
      <c r="B2" s="80"/>
      <c r="C2" s="80"/>
      <c r="D2" s="80"/>
      <c r="E2" s="80"/>
      <c r="F2" s="80"/>
      <c r="G2" s="80"/>
      <c r="H2" s="80"/>
      <c r="I2" s="80"/>
      <c r="J2" s="80"/>
    </row>
    <row r="3" spans="1:11" ht="33.6" customHeight="1">
      <c r="A3" s="83"/>
      <c r="B3" s="83"/>
      <c r="C3" s="83"/>
      <c r="D3" s="83"/>
      <c r="E3" s="83"/>
      <c r="F3" s="83"/>
      <c r="G3" s="83"/>
      <c r="H3" s="83"/>
      <c r="I3" s="83"/>
      <c r="J3" s="83"/>
    </row>
    <row r="4" spans="1:11" s="10" customFormat="1">
      <c r="A4" s="19" t="s">
        <v>215</v>
      </c>
      <c r="B4" s="20" t="s">
        <v>216</v>
      </c>
      <c r="C4" s="20" t="s">
        <v>217</v>
      </c>
      <c r="D4" s="20" t="s">
        <v>218</v>
      </c>
      <c r="E4" s="20" t="s">
        <v>219</v>
      </c>
    </row>
    <row r="5" spans="1:11" s="13" customFormat="1" ht="27" customHeight="1" thickBot="1">
      <c r="A5" s="21"/>
      <c r="B5" s="21"/>
      <c r="C5" s="21"/>
      <c r="D5" s="21">
        <f>WindVal</f>
        <v>80.467200000000005</v>
      </c>
      <c r="E5" s="21"/>
      <c r="F5" s="41"/>
      <c r="G5" s="41"/>
      <c r="H5" s="41"/>
      <c r="I5" s="41"/>
      <c r="J5" s="41"/>
    </row>
    <row r="6" spans="1:11" ht="17.25" thickTop="1"/>
  </sheetData>
  <mergeCells count="3">
    <mergeCell ref="A1:J1"/>
    <mergeCell ref="A2:J2"/>
    <mergeCell ref="A3:J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22578-27B0-43D9-873B-926F9F24F08E}">
  <sheetPr codeName="Sheet5"/>
  <dimension ref="A1:K12"/>
  <sheetViews>
    <sheetView workbookViewId="0">
      <selection sqref="A1:F1"/>
    </sheetView>
  </sheetViews>
  <sheetFormatPr defaultColWidth="9" defaultRowHeight="16.5"/>
  <cols>
    <col min="1" max="1" width="30.625" style="1" customWidth="1"/>
    <col min="2" max="2" width="0.125" style="1" customWidth="1"/>
    <col min="3" max="3" width="30.625" style="1" customWidth="1"/>
    <col min="4" max="16384" width="9" style="1"/>
  </cols>
  <sheetData>
    <row r="1" spans="1:11" ht="39.950000000000003" customHeight="1">
      <c r="A1" s="84" t="s">
        <v>220</v>
      </c>
      <c r="B1" s="84"/>
      <c r="C1" s="84"/>
      <c r="D1" s="84"/>
      <c r="E1" s="84"/>
      <c r="F1" s="84"/>
      <c r="H1" s="3" t="s">
        <v>205</v>
      </c>
      <c r="K1" s="2" t="s">
        <v>205</v>
      </c>
    </row>
    <row r="2" spans="1:11" ht="50.1" customHeight="1">
      <c r="A2" s="85" t="s">
        <v>221</v>
      </c>
      <c r="B2" s="85"/>
      <c r="C2" s="85"/>
      <c r="D2" s="85"/>
      <c r="E2" s="85"/>
      <c r="F2" s="85"/>
    </row>
    <row r="3" spans="1:11" ht="4.5" customHeight="1"/>
    <row r="4" spans="1:11" ht="24" customHeight="1">
      <c r="A4" s="4" t="s">
        <v>222</v>
      </c>
      <c r="B4" s="5" t="s">
        <v>223</v>
      </c>
      <c r="C4" s="6">
        <v>75</v>
      </c>
    </row>
    <row r="5" spans="1:11" ht="4.5" customHeight="1"/>
    <row r="6" spans="1:11" ht="24" customHeight="1">
      <c r="A6" s="4" t="s">
        <v>224</v>
      </c>
      <c r="B6" s="5" t="s">
        <v>225</v>
      </c>
      <c r="C6" s="6">
        <v>1</v>
      </c>
    </row>
    <row r="7" spans="1:11" ht="4.5" customHeight="1"/>
    <row r="8" spans="1:11" ht="24" customHeight="1">
      <c r="A8" s="4" t="s">
        <v>226</v>
      </c>
      <c r="B8" s="5" t="s">
        <v>227</v>
      </c>
      <c r="C8" s="6">
        <v>5</v>
      </c>
    </row>
    <row r="9" spans="1:11" ht="4.5" customHeight="1"/>
    <row r="10" spans="1:11" ht="24" customHeight="1">
      <c r="A10" s="4" t="s">
        <v>228</v>
      </c>
      <c r="B10" s="5" t="s">
        <v>229</v>
      </c>
      <c r="C10" s="6"/>
    </row>
    <row r="12" spans="1:11" ht="42" customHeight="1">
      <c r="A12" s="86" t="s">
        <v>230</v>
      </c>
      <c r="B12" s="86"/>
      <c r="C12" s="86"/>
      <c r="D12" s="86"/>
      <c r="E12" s="86"/>
      <c r="F12" s="86"/>
      <c r="G12" s="86"/>
    </row>
  </sheetData>
  <mergeCells count="3">
    <mergeCell ref="A1:F1"/>
    <mergeCell ref="A2:F2"/>
    <mergeCell ref="A12:G12"/>
  </mergeCells>
  <dataValidations count="4">
    <dataValidation allowBlank="1" showInputMessage="1" prompt="Minimum duration between data readings, in milliseconds. 10 to 1000" sqref="C4" xr:uid="{5B699514-6FE7-430B-A598-1183646D628A}"/>
    <dataValidation allowBlank="1" showInputMessage="1" prompt="Number of historical data rows to keep. 1 to 500" sqref="C6" xr:uid="{3EECADBB-645D-4AD2-8D87-07A80F95D9D6}"/>
    <dataValidation allowBlank="1" showInputMessage="1" prompt="Number of data columns to read/write. 1 to 100" sqref="C8" xr:uid="{19B80585-7F69-411D-9F82-F5E1B1264D59}"/>
    <dataValidation type="list" errorStyle="information" allowBlank="1" showInputMessage="1" prompt="Sort historical data by newest first or last." sqref="C10" xr:uid="{034ED776-D6E0-4AD2-A48D-DF1D05B82FBD}">
      <formula1>"Newest first,Newest last"</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Test3 xmlns="8978a658-3d11-4a81-97af-d5b56c1fb361" xsi:nil="true"/>
    <Notes_x0020_ xmlns="8978a658-3d11-4a81-97af-d5b56c1fb361" xsi:nil="true"/>
    <Test2 xmlns="8978a658-3d11-4a81-97af-d5b56c1fb361">true</Test2>
    <Details xmlns="8978a658-3d11-4a81-97af-d5b56c1fb361" xsi:nil="true"/>
    <dptest xmlns="8978a658-3d11-4a81-97af-d5b56c1fb361" xsi:nil="true"/>
    <Choice xmlns="8978a658-3d11-4a81-97af-d5b56c1fb361">false</Choice>
    <Sythesized_x0020_into_x0020_writeup_x003f_ xmlns="8978a658-3d11-4a81-97af-d5b56c1fb361">true</Sythesized_x0020_into_x0020_writeup_x003f_>
    <MediaServiceKeyPoints xmlns="8978a658-3d11-4a81-97af-d5b56c1fb361" xsi:nil="true"/>
    <_ip_UnifiedCompliancePolicyProperties xmlns="http://schemas.microsoft.com/sharepoint/v3" xsi:nil="true"/>
    <test0 xmlns="8978a658-3d11-4a81-97af-d5b56c1fb361">true</test0>
    <QFE xmlns="8978a658-3d11-4a81-97af-d5b56c1fb361">true</QFE>
    <Test xmlns="8978a658-3d11-4a81-97af-d5b56c1fb361">
      <UserInfo>
        <DisplayName/>
        <AccountId xsi:nil="true"/>
        <AccountType/>
      </UserInfo>
    </Test>
    <lcf76f155ced4ddcb4097134ff3c332f xmlns="8978a658-3d11-4a81-97af-d5b56c1fb361">
      <Terms xmlns="http://schemas.microsoft.com/office/infopath/2007/PartnerControls"/>
    </lcf76f155ced4ddcb4097134ff3c332f>
    <Industry xmlns="8978a658-3d11-4a81-97af-d5b56c1fb361" xsi:nil="true"/>
    <Segment xmlns="8978a658-3d11-4a81-97af-d5b56c1fb361" xsi:nil="true"/>
    <Comment xmlns="8978a658-3d11-4a81-97af-d5b56c1fb36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8E9A87F33DDDF47B4034F7640DF5146" ma:contentTypeVersion="46" ma:contentTypeDescription="Create a new document." ma:contentTypeScope="" ma:versionID="7bdc0c808ff8eaad8fdcdee3a4d51c84">
  <xsd:schema xmlns:xsd="http://www.w3.org/2001/XMLSchema" xmlns:xs="http://www.w3.org/2001/XMLSchema" xmlns:p="http://schemas.microsoft.com/office/2006/metadata/properties" xmlns:ns1="http://schemas.microsoft.com/sharepoint/v3" xmlns:ns2="8978a658-3d11-4a81-97af-d5b56c1fb361" xmlns:ns3="2e7b7dd0-ff9e-4fdf-9289-16a7cf533cc2" targetNamespace="http://schemas.microsoft.com/office/2006/metadata/properties" ma:root="true" ma:fieldsID="4741e605d6ec3bab21d9e628b08cb5c5" ns1:_="" ns2:_="" ns3:_="">
    <xsd:import namespace="http://schemas.microsoft.com/sharepoint/v3"/>
    <xsd:import namespace="8978a658-3d11-4a81-97af-d5b56c1fb361"/>
    <xsd:import namespace="2e7b7dd0-ff9e-4fdf-9289-16a7cf533cc2"/>
    <xsd:element name="properties">
      <xsd:complexType>
        <xsd:sequence>
          <xsd:element name="documentManagement">
            <xsd:complexType>
              <xsd:all>
                <xsd:element ref="ns2:Notes_x0020_" minOccurs="0"/>
                <xsd:element ref="ns2:Sythesized_x0020_into_x0020_writeup_x003f_" minOccurs="0"/>
                <xsd:element ref="ns2:MediaServiceKeyPoints" minOccurs="0"/>
                <xsd:element ref="ns2:Details" minOccurs="0"/>
                <xsd:element ref="ns2:Industry" minOccurs="0"/>
                <xsd:element ref="ns2:Segment" minOccurs="0"/>
                <xsd:element ref="ns2:QFE" minOccurs="0"/>
                <xsd:element ref="ns2:test0" minOccurs="0"/>
                <xsd:element ref="ns2:Test" minOccurs="0"/>
                <xsd:element ref="ns2:Test2" minOccurs="0"/>
                <xsd:element ref="ns2:Test3" minOccurs="0"/>
                <xsd:element ref="ns2:dptest" minOccurs="0"/>
                <xsd:element ref="ns2:MediaServiceFastMetadata" minOccurs="0"/>
                <xsd:element ref="ns2:MediaServiceAutoTags" minOccurs="0"/>
                <xsd:element ref="ns2:MediaServiceDateTaken" minOccurs="0"/>
                <xsd:element ref="ns2:MediaServiceOCR" minOccurs="0"/>
                <xsd:element ref="ns2:MediaServiceLocation" minOccurs="0"/>
                <xsd:element ref="ns1:_ip_UnifiedCompliancePolicyUIAction" minOccurs="0"/>
                <xsd:element ref="ns3:LastSharedByUser" minOccurs="0"/>
                <xsd:element ref="ns3:LastSharedByTime" minOccurs="0"/>
                <xsd:element ref="ns2:Test3_x003a_Column4" minOccurs="0"/>
                <xsd:element ref="ns2:Test3_x003a_Column6" minOccurs="0"/>
                <xsd:element ref="ns2:Test3_x003a_Compliance_x0020_Asset_x0020_Id" minOccurs="0"/>
                <xsd:element ref="ns2:MediaServiceEventHashCode" minOccurs="0"/>
                <xsd:element ref="ns2:MediaServiceGenerationTime" minOccurs="0"/>
                <xsd:element ref="ns2:MediaServiceAutoKeyPoints" minOccurs="0"/>
                <xsd:element ref="ns2:MediaLengthInSeconds" minOccurs="0"/>
                <xsd:element ref="ns3:SharedWithUsers" minOccurs="0"/>
                <xsd:element ref="ns3:SharedWithDetails" minOccurs="0"/>
                <xsd:element ref="ns2:lcf76f155ced4ddcb4097134ff3c332f" minOccurs="0"/>
                <xsd:element ref="ns1:_ip_UnifiedCompliancePolicyProperties" minOccurs="0"/>
                <xsd:element ref="ns2:MediaServiceMetadata" minOccurs="0"/>
                <xsd:element ref="ns2:Choice" minOccurs="0"/>
                <xsd:element ref="ns2:MediaServiceSearchProperties" minOccurs="0"/>
                <xsd:element ref="ns2:MediaServiceDocTags" minOccurs="0"/>
                <xsd:element ref="ns2:MediaServiceObjectDetectorVersions" minOccurs="0"/>
                <xsd:element ref="ns2:MediaServiceSystemTags" minOccurs="0"/>
                <xsd:element ref="ns2:Comme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UIAction" ma:index="20" nillable="true" ma:displayName="Unified Compliance Policy UI Action" ma:description="" ma:hidden="true" ma:internalName="_ip_UnifiedCompliancePolicyUIAction" ma:readOnly="false">
      <xsd:simpleType>
        <xsd:restriction base="dms:Text"/>
      </xsd:simpleType>
    </xsd:element>
    <xsd:element name="_ip_UnifiedCompliancePolicyProperties" ma:index="39" nillable="true" ma:displayName="Unified Compliance Policy Properties" ma:description="" ma:hidden="true" ma:internalName="_ip_UnifiedCompliancePolicyProperties"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978a658-3d11-4a81-97af-d5b56c1fb361" elementFormDefault="qualified">
    <xsd:import namespace="http://schemas.microsoft.com/office/2006/documentManagement/types"/>
    <xsd:import namespace="http://schemas.microsoft.com/office/infopath/2007/PartnerControls"/>
    <xsd:element name="Notes_x0020_" ma:index="2" nillable="true" ma:displayName="Notes " ma:format="Dropdown" ma:internalName="Notes_x0020_" ma:readOnly="false">
      <xsd:simpleType>
        <xsd:restriction base="dms:Note">
          <xsd:maxLength value="255"/>
        </xsd:restriction>
      </xsd:simpleType>
    </xsd:element>
    <xsd:element name="Sythesized_x0020_into_x0020_writeup_x003f_" ma:index="3" nillable="true" ma:displayName="Sythesized into writeup?" ma:default="1" ma:description="For John" ma:format="Dropdown" ma:internalName="Sythesized_x0020_into_x0020_writeup_x003f_" ma:readOnly="false">
      <xsd:simpleType>
        <xsd:restriction base="dms:Boolean"/>
      </xsd:simpleType>
    </xsd:element>
    <xsd:element name="MediaServiceKeyPoints" ma:index="4" nillable="true" ma:displayName="KeyPoints" ma:internalName="MediaServiceKeyPoints" ma:readOnly="false">
      <xsd:simpleType>
        <xsd:restriction base="dms:Note">
          <xsd:maxLength value="255"/>
        </xsd:restriction>
      </xsd:simpleType>
    </xsd:element>
    <xsd:element name="Details" ma:index="5" nillable="true" ma:displayName="Details" ma:format="Dropdown" ma:internalName="Details" ma:readOnly="false">
      <xsd:simpleType>
        <xsd:restriction base="dms:Note">
          <xsd:maxLength value="255"/>
        </xsd:restriction>
      </xsd:simpleType>
    </xsd:element>
    <xsd:element name="Industry" ma:index="6" nillable="true" ma:displayName="Industry" ma:internalName="Industry" ma:readOnly="false">
      <xsd:complexType>
        <xsd:complexContent>
          <xsd:extension base="dms:MultiChoiceFillIn">
            <xsd:sequence>
              <xsd:element name="Value" maxOccurs="unbounded" minOccurs="0" nillable="true">
                <xsd:simpleType>
                  <xsd:union memberTypes="dms:Text">
                    <xsd:simpleType>
                      <xsd:restriction base="dms:Choice">
                        <xsd:enumeration value="Accounting"/>
                        <xsd:enumeration value="Agriculture or Mining"/>
                        <xsd:enumeration value="Association or OtherNon- or Not-for-profit"/>
                        <xsd:enumeration value="Banking"/>
                        <xsd:enumeration value="Construction, Engineering, or Architecture"/>
                        <xsd:enumeration value="Consulting - IT Related"/>
                        <xsd:enumeration value="Consulting - Other"/>
                        <xsd:enumeration value="Digital Media"/>
                        <xsd:enumeration value="Education"/>
                        <xsd:enumeration value="Finance"/>
                        <xsd:enumeration value="Government"/>
                        <xsd:enumeration value="Healthcare (private sector) or Medical"/>
                        <xsd:enumeration value="Hospitality"/>
                        <xsd:enumeration value="Insurance"/>
                        <xsd:enumeration value="LegalServices"/>
                        <xsd:enumeration value="Manufacturing / Distribution"/>
                        <xsd:enumeration value="Market Research"/>
                        <xsd:enumeration value="Marketing, Advertising, PR"/>
                        <xsd:enumeration value="Other"/>
                        <xsd:enumeration value="Petroleum"/>
                        <xsd:enumeration value="Pharmaceuticals"/>
                        <xsd:enumeration value="Printing or Publishing"/>
                        <xsd:enumeration value="Real Estate"/>
                        <xsd:enumeration value="Research&amp; Development"/>
                        <xsd:enumeration value="Retail"/>
                        <xsd:enumeration value="Software Development"/>
                        <xsd:enumeration value="Technology"/>
                        <xsd:enumeration value="Telecommunications"/>
                        <xsd:enumeration value="Traditional Media"/>
                        <xsd:enumeration value="Transportation (Land, Sea, Air)"/>
                        <xsd:enumeration value="Travel &amp; Tourism"/>
                        <xsd:enumeration value="Utilities (Electric, Gas, etc.)"/>
                      </xsd:restriction>
                    </xsd:simpleType>
                  </xsd:union>
                </xsd:simpleType>
              </xsd:element>
            </xsd:sequence>
          </xsd:extension>
        </xsd:complexContent>
      </xsd:complexType>
    </xsd:element>
    <xsd:element name="Segment" ma:index="7" nillable="true" ma:displayName="Segment" ma:internalName="Segment" ma:readOnly="false">
      <xsd:complexType>
        <xsd:complexContent>
          <xsd:extension base="dms:MultiChoice">
            <xsd:sequence>
              <xsd:element name="Value" maxOccurs="unbounded" minOccurs="0" nillable="true">
                <xsd:simpleType>
                  <xsd:restriction base="dms:Choice">
                    <xsd:enumeration value="Full Stack Analyst"/>
                    <xsd:enumeration value="Unsettle Analyst"/>
                    <xsd:enumeration value="Steadfast Excel-er"/>
                    <xsd:enumeration value="&quot;Everyday&quot; Excel User"/>
                    <xsd:enumeration value="Information Gatherer"/>
                  </xsd:restriction>
                </xsd:simpleType>
              </xsd:element>
            </xsd:sequence>
          </xsd:extension>
        </xsd:complexContent>
      </xsd:complexType>
    </xsd:element>
    <xsd:element name="QFE" ma:index="8" nillable="true" ma:displayName="QFE" ma:default="1" ma:format="Dropdown" ma:internalName="QFE" ma:readOnly="false">
      <xsd:simpleType>
        <xsd:restriction base="dms:Boolean"/>
      </xsd:simpleType>
    </xsd:element>
    <xsd:element name="test0" ma:index="10" nillable="true" ma:displayName="test" ma:default="1" ma:format="Dropdown" ma:hidden="true" ma:internalName="test0" ma:readOnly="false">
      <xsd:simpleType>
        <xsd:restriction base="dms:Boolean"/>
      </xsd:simpleType>
    </xsd:element>
    <xsd:element name="Test" ma:index="11" nillable="true" ma:displayName="Test" ma:hidden="true" ma:list="UserInfo" ma:SharePointGroup="0" ma:internalName="Test"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est2" ma:index="12" nillable="true" ma:displayName="Test2" ma:default="1" ma:hidden="true" ma:internalName="Test2" ma:readOnly="false">
      <xsd:simpleType>
        <xsd:restriction base="dms:Boolean"/>
      </xsd:simpleType>
    </xsd:element>
    <xsd:element name="Test3" ma:index="13" nillable="true" ma:displayName="Test3" ma:hidden="true" ma:list="{56fe87cb-74e0-4ce0-8f5a-8a063749ebbe}" ma:internalName="Test3" ma:readOnly="false" ma:showField="Title">
      <xsd:simpleType>
        <xsd:restriction base="dms:Lookup"/>
      </xsd:simpleType>
    </xsd:element>
    <xsd:element name="dptest" ma:index="14" nillable="true" ma:displayName="dptest" ma:description="Doc Prop Test" ma:hidden="true" ma:internalName="dptest" ma:readOnly="false">
      <xsd:simpleType>
        <xsd:restriction base="dms:Text">
          <xsd:maxLength value="255"/>
        </xsd:restriction>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AutoTags" ma:index="16" nillable="true" ma:displayName="MediaServiceAutoTags" ma:description="" ma:hidden="true" ma:internalName="MediaServiceAutoTags" ma:readOnly="true">
      <xsd:simpleType>
        <xsd:restriction base="dms:Text"/>
      </xsd:simpleType>
    </xsd:element>
    <xsd:element name="MediaServiceDateTaken" ma:index="17" nillable="true" ma:displayName="MediaServiceDateTaken" ma:description="" ma:hidden="true" ma:internalName="MediaServiceDateTaken" ma:readOnly="true">
      <xsd:simpleType>
        <xsd:restriction base="dms:Text"/>
      </xsd:simpleType>
    </xsd:element>
    <xsd:element name="MediaServiceOCR" ma:index="18" nillable="true" ma:displayName="MediaServiceOCR" ma:description="" ma:hidden="true" ma:internalName="MediaServiceOCR" ma:readOnly="true">
      <xsd:simpleType>
        <xsd:restriction base="dms:Note"/>
      </xsd:simpleType>
    </xsd:element>
    <xsd:element name="MediaServiceLocation" ma:index="19" nillable="true" ma:displayName="MediaServiceLocation" ma:hidden="true" ma:internalName="MediaServiceLocation" ma:readOnly="true">
      <xsd:simpleType>
        <xsd:restriction base="dms:Text"/>
      </xsd:simpleType>
    </xsd:element>
    <xsd:element name="Test3_x003a_Column4" ma:index="23" nillable="true" ma:displayName="Test3:Column4" ma:hidden="true" ma:list="{56fe87cb-74e0-4ce0-8f5a-8a063749ebbe}" ma:internalName="Test3_x003a_Column4" ma:readOnly="true" ma:showField="Column4" ma:web="2e7b7dd0-ff9e-4fdf-9289-16a7cf533cc2">
      <xsd:simpleType>
        <xsd:restriction base="dms:Lookup"/>
      </xsd:simpleType>
    </xsd:element>
    <xsd:element name="Test3_x003a_Column6" ma:index="24" nillable="true" ma:displayName="Test3:Column6" ma:hidden="true" ma:list="{56fe87cb-74e0-4ce0-8f5a-8a063749ebbe}" ma:internalName="Test3_x003a_Column6" ma:readOnly="true" ma:showField="Column6" ma:web="2e7b7dd0-ff9e-4fdf-9289-16a7cf533cc2">
      <xsd:simpleType>
        <xsd:restriction base="dms:Lookup"/>
      </xsd:simpleType>
    </xsd:element>
    <xsd:element name="Test3_x003a_Compliance_x0020_Asset_x0020_Id" ma:index="25" nillable="true" ma:displayName="Test3:Compliance Asset Id" ma:hidden="true" ma:list="{56fe87cb-74e0-4ce0-8f5a-8a063749ebbe}" ma:internalName="Test3_x003a_Compliance_x0020_Asset_x0020_Id" ma:readOnly="true" ma:showField="ComplianceAssetId" ma:web="2e7b7dd0-ff9e-4fdf-9289-16a7cf533cc2">
      <xsd:simpleType>
        <xsd:restriction base="dms:Lookup"/>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AutoKeyPoints" ma:index="30" nillable="true" ma:displayName="MediaServiceAutoKeyPoints" ma:hidden="true" ma:internalName="MediaServiceAutoKeyPoints" ma:readOnly="true">
      <xsd:simpleType>
        <xsd:restriction base="dms:Note"/>
      </xsd:simpleType>
    </xsd:element>
    <xsd:element name="MediaLengthInSeconds" ma:index="35" nillable="true" ma:displayName="Length (seconds)" ma:hidden="true" ma:internalName="MediaLengthInSeconds" ma:readOnly="true">
      <xsd:simpleType>
        <xsd:restriction base="dms:Unknown"/>
      </xsd:simpleType>
    </xsd:element>
    <xsd:element name="lcf76f155ced4ddcb4097134ff3c332f" ma:index="38"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Metadata" ma:index="40" nillable="true" ma:displayName="MediaServiceMetadata" ma:description="" ma:hidden="true" ma:internalName="MediaServiceMetadata" ma:readOnly="true">
      <xsd:simpleType>
        <xsd:restriction base="dms:Note"/>
      </xsd:simpleType>
    </xsd:element>
    <xsd:element name="Choice" ma:index="41" nillable="true" ma:displayName="Choice" ma:default="0" ma:format="Dropdown" ma:internalName="Choice">
      <xsd:simpleType>
        <xsd:restriction base="dms:Boolean"/>
      </xsd:simpleType>
    </xsd:element>
    <xsd:element name="MediaServiceSearchProperties" ma:index="42" nillable="true" ma:displayName="MediaServiceSearchProperties" ma:hidden="true" ma:internalName="MediaServiceSearchProperties" ma:readOnly="true">
      <xsd:simpleType>
        <xsd:restriction base="dms:Note"/>
      </xsd:simpleType>
    </xsd:element>
    <xsd:element name="MediaServiceDocTags" ma:index="43" nillable="true" ma:displayName="MediaServiceDocTags" ma:hidden="true" ma:internalName="MediaServiceDocTags" ma:readOnly="true">
      <xsd:simpleType>
        <xsd:restriction base="dms:Note"/>
      </xsd:simpleType>
    </xsd:element>
    <xsd:element name="MediaServiceObjectDetectorVersions" ma:index="44" nillable="true" ma:displayName="MediaServiceObjectDetectorVersions" ma:description="" ma:hidden="true" ma:indexed="true" ma:internalName="MediaServiceObjectDetectorVersions" ma:readOnly="true">
      <xsd:simpleType>
        <xsd:restriction base="dms:Text"/>
      </xsd:simpleType>
    </xsd:element>
    <xsd:element name="MediaServiceSystemTags" ma:index="45" nillable="true" ma:displayName="MediaServiceSystemTags" ma:hidden="true" ma:internalName="MediaServiceSystemTags" ma:readOnly="true">
      <xsd:simpleType>
        <xsd:restriction base="dms:Note"/>
      </xsd:simpleType>
    </xsd:element>
    <xsd:element name="Comment" ma:index="46" nillable="true" ma:displayName="Comment" ma:format="Dropdown" ma:internalName="Comment">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e7b7dd0-ff9e-4fdf-9289-16a7cf533cc2" elementFormDefault="qualified">
    <xsd:import namespace="http://schemas.microsoft.com/office/2006/documentManagement/types"/>
    <xsd:import namespace="http://schemas.microsoft.com/office/infopath/2007/PartnerControls"/>
    <xsd:element name="LastSharedByUser" ma:index="21" nillable="true" ma:displayName="Last Shared By User" ma:description="" ma:hidden="true" ma:internalName="LastSharedByUser" ma:readOnly="true">
      <xsd:simpleType>
        <xsd:restriction base="dms:Note"/>
      </xsd:simpleType>
    </xsd:element>
    <xsd:element name="LastSharedByTime" ma:index="22" nillable="true" ma:displayName="Last Shared By Time" ma:description="" ma:hidden="true" ma:internalName="LastSharedByTime" ma:readOnly="true">
      <xsd:simpleType>
        <xsd:restriction base="dms:DateTime"/>
      </xsd:simpleType>
    </xsd:element>
    <xsd:element name="SharedWithUsers" ma:index="36"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2DC681-DBFB-49F1-BBB5-789E8D36BAF1}"/>
</file>

<file path=customXml/itemProps2.xml><?xml version="1.0" encoding="utf-8"?>
<ds:datastoreItem xmlns:ds="http://schemas.openxmlformats.org/officeDocument/2006/customXml" ds:itemID="{506C2F34-986B-416D-AE3D-C836C83F5F3F}"/>
</file>

<file path=customXml/itemProps3.xml><?xml version="1.0" encoding="utf-8"?>
<ds:datastoreItem xmlns:ds="http://schemas.openxmlformats.org/officeDocument/2006/customXml" ds:itemID="{1C4BD3CC-B62D-44CE-A4A7-791CA45EE8BD}"/>
</file>

<file path=docMetadata/LabelInfo.xml><?xml version="1.0" encoding="utf-8"?>
<clbl:labelList xmlns:clbl="http://schemas.microsoft.com/office/2020/mipLabelMetadata">
  <clbl:label id="{87867195-f2b8-4ac2-b0b6-6bb73cb33af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Gedion Alemayehu</cp:lastModifiedBy>
  <cp:revision/>
  <dcterms:created xsi:type="dcterms:W3CDTF">2021-07-16T22:13:39Z</dcterms:created>
  <dcterms:modified xsi:type="dcterms:W3CDTF">2023-11-22T19:33:59Z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0x01010018E9A87F33DDDF47B4034F7640DF5146</vt:lpwstr>
  </property>
  <property fmtid="{D5CDD505-2E9C-101B-9397-08002B2CF9AE}" pid="3" name="MediaServiceImageTags">
    <vt:lpwstr/>
  </property>
  <property fmtid="{D5CDD505-2E9C-101B-9397-08002B2CF9AE}" pid="4" name="j1ddeb2b0f824d21b6864f26ba9a3bed">
    <vt:lpwstr/>
  </property>
  <property fmtid="{D5CDD505-2E9C-101B-9397-08002B2CF9AE}" pid="5" name="Country">
    <vt:lpwstr/>
  </property>
  <property fmtid="{D5CDD505-2E9C-101B-9397-08002B2CF9AE}" pid="7" name="TaxCatchAll">
    <vt:lpwstr/>
  </property>
</Properties>
</file>